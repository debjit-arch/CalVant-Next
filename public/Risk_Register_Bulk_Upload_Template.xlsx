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isk_Register" sheetId="2" state="visible" r:id="rId2"/>
    <sheet name="Example_Row" sheetId="3" state="visible" r:id="rId3"/>
    <sheet name="Lists" sheetId="4" state="visible" r:id="rId4"/>
    <sheet name="Control_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i val="1"/>
      <color rgb="001E40AF"/>
      <sz val="10"/>
    </font>
    <font>
      <name val="Segoe UI"/>
      <color rgb="001F2937"/>
      <sz val="10"/>
    </font>
    <font>
      <name val="Segoe UI"/>
      <b val="1"/>
      <color rgb="004C1D95"/>
      <sz val="10"/>
    </font>
    <font>
      <name val="Segoe UI"/>
      <b val="1"/>
      <color rgb="004C1D95"/>
      <sz val="15"/>
    </font>
    <font>
      <name val="Segoe UI"/>
      <b val="1"/>
      <color rgb="001F2937"/>
      <sz val="11"/>
    </font>
  </fonts>
  <fills count="4">
    <fill>
      <patternFill/>
    </fill>
    <fill>
      <patternFill patternType="gray125"/>
    </fill>
    <fill>
      <patternFill patternType="solid">
        <fgColor rgb="004C1D95"/>
        <bgColor rgb="004C1D95"/>
      </patternFill>
    </fill>
    <fill>
      <patternFill patternType="solid">
        <fgColor rgb="00EDE9FE"/>
        <bgColor rgb="00EDE9FE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85" customWidth="1" min="2" max="2"/>
  </cols>
  <sheetData>
    <row r="1" ht="36" customHeight="1">
      <c r="A1" s="1" t="inlineStr">
        <is>
          <t>Risk Register Bulk Upload - Instructions &amp; Guidelines</t>
        </is>
      </c>
    </row>
    <row r="3" ht="24" customHeight="1">
      <c r="A3" s="2" t="inlineStr">
        <is>
          <t>1. Sheet Structure</t>
        </is>
      </c>
      <c r="B3" s="3" t="inlineStr">
        <is>
          <t>Fill data in the 'Risk_Register' sheet. Do not rename or remove any headers.</t>
        </is>
      </c>
    </row>
    <row r="4" ht="24" customHeight="1">
      <c r="A4" s="2" t="inlineStr">
        <is>
          <t>2. Google Sheets &amp; Excel</t>
        </is>
      </c>
      <c r="B4" s="3" t="inlineStr">
        <is>
          <t>Dropdown menus are embedded natively so they work in both Microsoft Excel and Google Sheets.</t>
        </is>
      </c>
    </row>
    <row r="5" ht="24" customHeight="1">
      <c r="A5" s="2" t="inlineStr">
        <is>
          <t>3. Risk Description Formula</t>
        </is>
      </c>
      <c r="B5" s="3" t="inlineStr">
        <is>
          <t>Automatically generated as: Risk of "&lt;Threat&gt;" because of "&lt;Vulnerabilities&gt;". You can also type a custom description.</t>
        </is>
      </c>
    </row>
    <row r="6" ht="24" customHeight="1">
      <c r="A6" s="2" t="inlineStr">
        <is>
          <t>4. CIA &amp; Impact Scoring</t>
        </is>
      </c>
      <c r="B6" s="3" t="inlineStr">
        <is>
          <t>Confidentiality, Integrity, Availability are on a 1 to 4 scale. Impact is based on Asset Type (Confidential=4, Sensitive=3, Private=2, Public=1).</t>
        </is>
      </c>
    </row>
    <row r="7" ht="24" customHeight="1">
      <c r="A7" s="2" t="inlineStr">
        <is>
          <t>5. Risk Score &amp; Level</t>
        </is>
      </c>
      <c r="B7" s="3" t="inlineStr">
        <is>
          <t>Current Risk Score = Impact × Likelihood. Level: High (&gt;6), Medium (4-6), Low (1-3).</t>
        </is>
      </c>
    </row>
    <row r="8" ht="24" customHeight="1">
      <c r="A8" s="2" t="inlineStr">
        <is>
          <t>6. Post-Treatment Metrics</t>
        </is>
      </c>
      <c r="B8" s="3" t="inlineStr">
        <is>
          <t>Likelihood After Treatment and Impact After Treatment rate the residual risk (1 to 4 scale).</t>
        </is>
      </c>
    </row>
    <row r="9" ht="24" customHeight="1">
      <c r="A9" s="2" t="inlineStr">
        <is>
          <t>7. Framework Controls (GDPR, ISO 27001, etc.)</t>
        </is>
      </c>
      <c r="B9" s="3" t="inlineStr">
        <is>
          <t>Enter comma-separated codes (e.g. A.5.1, A.8.2 or Article-5, Article-32). Consult the 'Control_Reference'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0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22" customWidth="1" min="4" max="4"/>
    <col width="16" customWidth="1" min="5" max="5"/>
    <col width="26" customWidth="1" min="6" max="6"/>
    <col width="32" customWidth="1" min="7" max="7"/>
    <col width="38" customWidth="1" min="8" max="8"/>
    <col width="16" customWidth="1" min="9" max="9"/>
    <col width="14" customWidth="1" min="10" max="10"/>
    <col width="15" customWidth="1" min="11" max="11"/>
    <col width="12" customWidth="1" min="12" max="12"/>
    <col width="14" customWidth="1" min="13" max="13"/>
    <col width="18" customWidth="1" min="14" max="14"/>
    <col width="18" customWidth="1" min="15" max="15"/>
    <col width="26" customWidth="1" min="16" max="16"/>
    <col width="30" customWidth="1" min="17" max="17"/>
    <col width="2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36" customHeight="1">
      <c r="A1" s="4" t="inlineStr">
        <is>
          <t>Risk ID</t>
        </is>
      </c>
      <c r="B1" s="4" t="inlineStr">
        <is>
          <t>Department</t>
        </is>
      </c>
      <c r="C1" s="4" t="inlineStr">
        <is>
          <t>Date</t>
        </is>
      </c>
      <c r="D1" s="4" t="inlineStr">
        <is>
          <t>Risk Type</t>
        </is>
      </c>
      <c r="E1" s="4" t="inlineStr">
        <is>
          <t>Asset Type</t>
        </is>
      </c>
      <c r="F1" s="4" t="inlineStr">
        <is>
          <t>Threat</t>
        </is>
      </c>
      <c r="G1" s="4" t="inlineStr">
        <is>
          <t>Vulnerabilities</t>
        </is>
      </c>
      <c r="H1" s="4" t="inlineStr">
        <is>
          <t>Risk Description</t>
        </is>
      </c>
      <c r="I1" s="4" t="inlineStr">
        <is>
          <t>Confidentiality</t>
        </is>
      </c>
      <c r="J1" s="4" t="inlineStr">
        <is>
          <t>Integrity</t>
        </is>
      </c>
      <c r="K1" s="4" t="inlineStr">
        <is>
          <t>Availability</t>
        </is>
      </c>
      <c r="L1" s="4" t="inlineStr">
        <is>
          <t>Impact</t>
        </is>
      </c>
      <c r="M1" s="4" t="inlineStr">
        <is>
          <t>Likelihood</t>
        </is>
      </c>
      <c r="N1" s="4" t="inlineStr">
        <is>
          <t>Current Risk Score</t>
        </is>
      </c>
      <c r="O1" s="4" t="inlineStr">
        <is>
          <t>Current Risk Level</t>
        </is>
      </c>
      <c r="P1" s="4" t="inlineStr">
        <is>
          <t>Existing Controls</t>
        </is>
      </c>
      <c r="Q1" s="4" t="inlineStr">
        <is>
          <t>No. of Days to Implement Treatment</t>
        </is>
      </c>
      <c r="R1" s="4" t="inlineStr">
        <is>
          <t>Likelihood After Treatment</t>
        </is>
      </c>
      <c r="S1" s="4" t="inlineStr">
        <is>
          <t>Impact After Treatment</t>
        </is>
      </c>
      <c r="T1" s="4" t="inlineStr">
        <is>
          <t>GDPR</t>
        </is>
      </c>
      <c r="U1" s="4" t="inlineStr">
        <is>
          <t>ISO 27001</t>
        </is>
      </c>
      <c r="V1" s="4" t="inlineStr">
        <is>
          <t>ISO 27701</t>
        </is>
      </c>
      <c r="W1" s="4" t="inlineStr">
        <is>
          <t>ISO 42001</t>
        </is>
      </c>
      <c r="X1" s="4" t="inlineStr">
        <is>
          <t>KSA PDPL</t>
        </is>
      </c>
      <c r="Y1" s="4" t="inlineStr">
        <is>
          <t>SOC 2</t>
        </is>
      </c>
    </row>
    <row r="2" ht="22" customHeight="1">
      <c r="A2" s="5" t="n"/>
      <c r="B2" s="6" t="n"/>
      <c r="C2" s="5" t="n"/>
      <c r="D2" s="5" t="n"/>
      <c r="E2" s="5" t="n"/>
      <c r="F2" s="6" t="n"/>
      <c r="G2" s="6" t="n"/>
      <c r="H2" s="7">
        <f>IF(AND(F2="",G2=""),"", "Risk of """ &amp; F2 &amp; """ because of """ &amp; SUBSTITUTE(G2, ", ", """ and """) &amp; """")</f>
        <v/>
      </c>
      <c r="I2" s="5" t="n"/>
      <c r="J2" s="5" t="n"/>
      <c r="K2" s="5" t="n"/>
      <c r="L2" s="8">
        <f>IF(E2="Confidential", 4, IF(E2="Sensitive", 3, IF(E2="Private", 2, IF(E2="Public", 1, ""))))</f>
        <v/>
      </c>
      <c r="M2" s="5" t="n"/>
      <c r="N2" s="8">
        <f>IF(OR(L2="",M2=""), "", L2*M2)</f>
        <v/>
      </c>
      <c r="O2" s="8">
        <f>IF(N2="","", IF(N2&gt;6, "High", IF(N2&gt;=4, "Medium", "Low")))</f>
        <v/>
      </c>
      <c r="P2" s="6" t="n"/>
      <c r="Q2" s="5" t="n"/>
      <c r="R2" s="5" t="n"/>
      <c r="S2" s="5" t="n"/>
      <c r="T2" s="6" t="n"/>
      <c r="U2" s="6" t="n"/>
      <c r="V2" s="6" t="n"/>
      <c r="W2" s="6" t="n"/>
      <c r="X2" s="6" t="n"/>
      <c r="Y2" s="6" t="n"/>
    </row>
    <row r="3" ht="22" customHeight="1">
      <c r="A3" s="5" t="n"/>
      <c r="B3" s="6" t="n"/>
      <c r="C3" s="5" t="n"/>
      <c r="D3" s="5" t="n"/>
      <c r="E3" s="5" t="n"/>
      <c r="F3" s="6" t="n"/>
      <c r="G3" s="6" t="n"/>
      <c r="H3" s="7">
        <f>IF(AND(F3="",G3=""),"", "Risk of """ &amp; F3 &amp; """ because of """ &amp; SUBSTITUTE(G3, ", ", """ and """) &amp; """")</f>
        <v/>
      </c>
      <c r="I3" s="5" t="n"/>
      <c r="J3" s="5" t="n"/>
      <c r="K3" s="5" t="n"/>
      <c r="L3" s="8">
        <f>IF(E3="Confidential", 4, IF(E3="Sensitive", 3, IF(E3="Private", 2, IF(E3="Public", 1, ""))))</f>
        <v/>
      </c>
      <c r="M3" s="5" t="n"/>
      <c r="N3" s="8">
        <f>IF(OR(L3="",M3=""), "", L3*M3)</f>
        <v/>
      </c>
      <c r="O3" s="8">
        <f>IF(N3="","", IF(N3&gt;6, "High", IF(N3&gt;=4, "Medium", "Low")))</f>
        <v/>
      </c>
      <c r="P3" s="6" t="n"/>
      <c r="Q3" s="5" t="n"/>
      <c r="R3" s="5" t="n"/>
      <c r="S3" s="5" t="n"/>
      <c r="T3" s="6" t="n"/>
      <c r="U3" s="6" t="n"/>
      <c r="V3" s="6" t="n"/>
      <c r="W3" s="6" t="n"/>
      <c r="X3" s="6" t="n"/>
      <c r="Y3" s="6" t="n"/>
    </row>
    <row r="4" ht="22" customHeight="1">
      <c r="A4" s="5" t="n"/>
      <c r="B4" s="6" t="n"/>
      <c r="C4" s="5" t="n"/>
      <c r="D4" s="5" t="n"/>
      <c r="E4" s="5" t="n"/>
      <c r="F4" s="6" t="n"/>
      <c r="G4" s="6" t="n"/>
      <c r="H4" s="7">
        <f>IF(AND(F4="",G4=""),"", "Risk of """ &amp; F4 &amp; """ because of """ &amp; SUBSTITUTE(G4, ", ", """ and """) &amp; """")</f>
        <v/>
      </c>
      <c r="I4" s="5" t="n"/>
      <c r="J4" s="5" t="n"/>
      <c r="K4" s="5" t="n"/>
      <c r="L4" s="8">
        <f>IF(E4="Confidential", 4, IF(E4="Sensitive", 3, IF(E4="Private", 2, IF(E4="Public", 1, ""))))</f>
        <v/>
      </c>
      <c r="M4" s="5" t="n"/>
      <c r="N4" s="8">
        <f>IF(OR(L4="",M4=""), "", L4*M4)</f>
        <v/>
      </c>
      <c r="O4" s="8">
        <f>IF(N4="","", IF(N4&gt;6, "High", IF(N4&gt;=4, "Medium", "Low")))</f>
        <v/>
      </c>
      <c r="P4" s="6" t="n"/>
      <c r="Q4" s="5" t="n"/>
      <c r="R4" s="5" t="n"/>
      <c r="S4" s="5" t="n"/>
      <c r="T4" s="6" t="n"/>
      <c r="U4" s="6" t="n"/>
      <c r="V4" s="6" t="n"/>
      <c r="W4" s="6" t="n"/>
      <c r="X4" s="6" t="n"/>
      <c r="Y4" s="6" t="n"/>
    </row>
    <row r="5" ht="22" customHeight="1">
      <c r="A5" s="5" t="n"/>
      <c r="B5" s="6" t="n"/>
      <c r="C5" s="5" t="n"/>
      <c r="D5" s="5" t="n"/>
      <c r="E5" s="5" t="n"/>
      <c r="F5" s="6" t="n"/>
      <c r="G5" s="6" t="n"/>
      <c r="H5" s="7">
        <f>IF(AND(F5="",G5=""),"", "Risk of """ &amp; F5 &amp; """ because of """ &amp; SUBSTITUTE(G5, ", ", """ and """) &amp; """")</f>
        <v/>
      </c>
      <c r="I5" s="5" t="n"/>
      <c r="J5" s="5" t="n"/>
      <c r="K5" s="5" t="n"/>
      <c r="L5" s="8">
        <f>IF(E5="Confidential", 4, IF(E5="Sensitive", 3, IF(E5="Private", 2, IF(E5="Public", 1, ""))))</f>
        <v/>
      </c>
      <c r="M5" s="5" t="n"/>
      <c r="N5" s="8">
        <f>IF(OR(L5="",M5=""), "", L5*M5)</f>
        <v/>
      </c>
      <c r="O5" s="8">
        <f>IF(N5="","", IF(N5&gt;6, "High", IF(N5&gt;=4, "Medium", "Low")))</f>
        <v/>
      </c>
      <c r="P5" s="6" t="n"/>
      <c r="Q5" s="5" t="n"/>
      <c r="R5" s="5" t="n"/>
      <c r="S5" s="5" t="n"/>
      <c r="T5" s="6" t="n"/>
      <c r="U5" s="6" t="n"/>
      <c r="V5" s="6" t="n"/>
      <c r="W5" s="6" t="n"/>
      <c r="X5" s="6" t="n"/>
      <c r="Y5" s="6" t="n"/>
    </row>
    <row r="6" ht="22" customHeight="1">
      <c r="A6" s="5" t="n"/>
      <c r="B6" s="6" t="n"/>
      <c r="C6" s="5" t="n"/>
      <c r="D6" s="5" t="n"/>
      <c r="E6" s="5" t="n"/>
      <c r="F6" s="6" t="n"/>
      <c r="G6" s="6" t="n"/>
      <c r="H6" s="7">
        <f>IF(AND(F6="",G6=""),"", "Risk of """ &amp; F6 &amp; """ because of """ &amp; SUBSTITUTE(G6, ", ", """ and """) &amp; """")</f>
        <v/>
      </c>
      <c r="I6" s="5" t="n"/>
      <c r="J6" s="5" t="n"/>
      <c r="K6" s="5" t="n"/>
      <c r="L6" s="8">
        <f>IF(E6="Confidential", 4, IF(E6="Sensitive", 3, IF(E6="Private", 2, IF(E6="Public", 1, ""))))</f>
        <v/>
      </c>
      <c r="M6" s="5" t="n"/>
      <c r="N6" s="8">
        <f>IF(OR(L6="",M6=""), "", L6*M6)</f>
        <v/>
      </c>
      <c r="O6" s="8">
        <f>IF(N6="","", IF(N6&gt;6, "High", IF(N6&gt;=4, "Medium", "Low")))</f>
        <v/>
      </c>
      <c r="P6" s="6" t="n"/>
      <c r="Q6" s="5" t="n"/>
      <c r="R6" s="5" t="n"/>
      <c r="S6" s="5" t="n"/>
      <c r="T6" s="6" t="n"/>
      <c r="U6" s="6" t="n"/>
      <c r="V6" s="6" t="n"/>
      <c r="W6" s="6" t="n"/>
      <c r="X6" s="6" t="n"/>
      <c r="Y6" s="6" t="n"/>
    </row>
    <row r="7" ht="22" customHeight="1">
      <c r="A7" s="5" t="n"/>
      <c r="B7" s="6" t="n"/>
      <c r="C7" s="5" t="n"/>
      <c r="D7" s="5" t="n"/>
      <c r="E7" s="5" t="n"/>
      <c r="F7" s="6" t="n"/>
      <c r="G7" s="6" t="n"/>
      <c r="H7" s="7">
        <f>IF(AND(F7="",G7=""),"", "Risk of """ &amp; F7 &amp; """ because of """ &amp; SUBSTITUTE(G7, ", ", """ and """) &amp; """")</f>
        <v/>
      </c>
      <c r="I7" s="5" t="n"/>
      <c r="J7" s="5" t="n"/>
      <c r="K7" s="5" t="n"/>
      <c r="L7" s="8">
        <f>IF(E7="Confidential", 4, IF(E7="Sensitive", 3, IF(E7="Private", 2, IF(E7="Public", 1, ""))))</f>
        <v/>
      </c>
      <c r="M7" s="5" t="n"/>
      <c r="N7" s="8">
        <f>IF(OR(L7="",M7=""), "", L7*M7)</f>
        <v/>
      </c>
      <c r="O7" s="8">
        <f>IF(N7="","", IF(N7&gt;6, "High", IF(N7&gt;=4, "Medium", "Low")))</f>
        <v/>
      </c>
      <c r="P7" s="6" t="n"/>
      <c r="Q7" s="5" t="n"/>
      <c r="R7" s="5" t="n"/>
      <c r="S7" s="5" t="n"/>
      <c r="T7" s="6" t="n"/>
      <c r="U7" s="6" t="n"/>
      <c r="V7" s="6" t="n"/>
      <c r="W7" s="6" t="n"/>
      <c r="X7" s="6" t="n"/>
      <c r="Y7" s="6" t="n"/>
    </row>
    <row r="8" ht="22" customHeight="1">
      <c r="A8" s="5" t="n"/>
      <c r="B8" s="6" t="n"/>
      <c r="C8" s="5" t="n"/>
      <c r="D8" s="5" t="n"/>
      <c r="E8" s="5" t="n"/>
      <c r="F8" s="6" t="n"/>
      <c r="G8" s="6" t="n"/>
      <c r="H8" s="7">
        <f>IF(AND(F8="",G8=""),"", "Risk of """ &amp; F8 &amp; """ because of """ &amp; SUBSTITUTE(G8, ", ", """ and """) &amp; """")</f>
        <v/>
      </c>
      <c r="I8" s="5" t="n"/>
      <c r="J8" s="5" t="n"/>
      <c r="K8" s="5" t="n"/>
      <c r="L8" s="8">
        <f>IF(E8="Confidential", 4, IF(E8="Sensitive", 3, IF(E8="Private", 2, IF(E8="Public", 1, ""))))</f>
        <v/>
      </c>
      <c r="M8" s="5" t="n"/>
      <c r="N8" s="8">
        <f>IF(OR(L8="",M8=""), "", L8*M8)</f>
        <v/>
      </c>
      <c r="O8" s="8">
        <f>IF(N8="","", IF(N8&gt;6, "High", IF(N8&gt;=4, "Medium", "Low")))</f>
        <v/>
      </c>
      <c r="P8" s="6" t="n"/>
      <c r="Q8" s="5" t="n"/>
      <c r="R8" s="5" t="n"/>
      <c r="S8" s="5" t="n"/>
      <c r="T8" s="6" t="n"/>
      <c r="U8" s="6" t="n"/>
      <c r="V8" s="6" t="n"/>
      <c r="W8" s="6" t="n"/>
      <c r="X8" s="6" t="n"/>
      <c r="Y8" s="6" t="n"/>
    </row>
    <row r="9" ht="22" customHeight="1">
      <c r="A9" s="5" t="n"/>
      <c r="B9" s="6" t="n"/>
      <c r="C9" s="5" t="n"/>
      <c r="D9" s="5" t="n"/>
      <c r="E9" s="5" t="n"/>
      <c r="F9" s="6" t="n"/>
      <c r="G9" s="6" t="n"/>
      <c r="H9" s="7">
        <f>IF(AND(F9="",G9=""),"", "Risk of """ &amp; F9 &amp; """ because of """ &amp; SUBSTITUTE(G9, ", ", """ and """) &amp; """")</f>
        <v/>
      </c>
      <c r="I9" s="5" t="n"/>
      <c r="J9" s="5" t="n"/>
      <c r="K9" s="5" t="n"/>
      <c r="L9" s="8">
        <f>IF(E9="Confidential", 4, IF(E9="Sensitive", 3, IF(E9="Private", 2, IF(E9="Public", 1, ""))))</f>
        <v/>
      </c>
      <c r="M9" s="5" t="n"/>
      <c r="N9" s="8">
        <f>IF(OR(L9="",M9=""), "", L9*M9)</f>
        <v/>
      </c>
      <c r="O9" s="8">
        <f>IF(N9="","", IF(N9&gt;6, "High", IF(N9&gt;=4, "Medium", "Low")))</f>
        <v/>
      </c>
      <c r="P9" s="6" t="n"/>
      <c r="Q9" s="5" t="n"/>
      <c r="R9" s="5" t="n"/>
      <c r="S9" s="5" t="n"/>
      <c r="T9" s="6" t="n"/>
      <c r="U9" s="6" t="n"/>
      <c r="V9" s="6" t="n"/>
      <c r="W9" s="6" t="n"/>
      <c r="X9" s="6" t="n"/>
      <c r="Y9" s="6" t="n"/>
    </row>
    <row r="10" ht="22" customHeight="1">
      <c r="A10" s="5" t="n"/>
      <c r="B10" s="6" t="n"/>
      <c r="C10" s="5" t="n"/>
      <c r="D10" s="5" t="n"/>
      <c r="E10" s="5" t="n"/>
      <c r="F10" s="6" t="n"/>
      <c r="G10" s="6" t="n"/>
      <c r="H10" s="7">
        <f>IF(AND(F10="",G10=""),"", "Risk of """ &amp; F10 &amp; """ because of """ &amp; SUBSTITUTE(G10, ", ", """ and """) &amp; """")</f>
        <v/>
      </c>
      <c r="I10" s="5" t="n"/>
      <c r="J10" s="5" t="n"/>
      <c r="K10" s="5" t="n"/>
      <c r="L10" s="8">
        <f>IF(E10="Confidential", 4, IF(E10="Sensitive", 3, IF(E10="Private", 2, IF(E10="Public", 1, ""))))</f>
        <v/>
      </c>
      <c r="M10" s="5" t="n"/>
      <c r="N10" s="8">
        <f>IF(OR(L10="",M10=""), "", L10*M10)</f>
        <v/>
      </c>
      <c r="O10" s="8">
        <f>IF(N10="","", IF(N10&gt;6, "High", IF(N10&gt;=4, "Medium", "Low")))</f>
        <v/>
      </c>
      <c r="P10" s="6" t="n"/>
      <c r="Q10" s="5" t="n"/>
      <c r="R10" s="5" t="n"/>
      <c r="S10" s="5" t="n"/>
      <c r="T10" s="6" t="n"/>
      <c r="U10" s="6" t="n"/>
      <c r="V10" s="6" t="n"/>
      <c r="W10" s="6" t="n"/>
      <c r="X10" s="6" t="n"/>
      <c r="Y10" s="6" t="n"/>
    </row>
    <row r="11" ht="22" customHeight="1">
      <c r="A11" s="5" t="n"/>
      <c r="B11" s="6" t="n"/>
      <c r="C11" s="5" t="n"/>
      <c r="D11" s="5" t="n"/>
      <c r="E11" s="5" t="n"/>
      <c r="F11" s="6" t="n"/>
      <c r="G11" s="6" t="n"/>
      <c r="H11" s="7">
        <f>IF(AND(F11="",G11=""),"", "Risk of """ &amp; F11 &amp; """ because of """ &amp; SUBSTITUTE(G11, ", ", """ and """) &amp; """")</f>
        <v/>
      </c>
      <c r="I11" s="5" t="n"/>
      <c r="J11" s="5" t="n"/>
      <c r="K11" s="5" t="n"/>
      <c r="L11" s="8">
        <f>IF(E11="Confidential", 4, IF(E11="Sensitive", 3, IF(E11="Private", 2, IF(E11="Public", 1, ""))))</f>
        <v/>
      </c>
      <c r="M11" s="5" t="n"/>
      <c r="N11" s="8">
        <f>IF(OR(L11="",M11=""), "", L11*M11)</f>
        <v/>
      </c>
      <c r="O11" s="8">
        <f>IF(N11="","", IF(N11&gt;6, "High", IF(N11&gt;=4, "Medium", "Low")))</f>
        <v/>
      </c>
      <c r="P11" s="6" t="n"/>
      <c r="Q11" s="5" t="n"/>
      <c r="R11" s="5" t="n"/>
      <c r="S11" s="5" t="n"/>
      <c r="T11" s="6" t="n"/>
      <c r="U11" s="6" t="n"/>
      <c r="V11" s="6" t="n"/>
      <c r="W11" s="6" t="n"/>
      <c r="X11" s="6" t="n"/>
      <c r="Y11" s="6" t="n"/>
    </row>
    <row r="12" ht="22" customHeight="1">
      <c r="A12" s="5" t="n"/>
      <c r="B12" s="6" t="n"/>
      <c r="C12" s="5" t="n"/>
      <c r="D12" s="5" t="n"/>
      <c r="E12" s="5" t="n"/>
      <c r="F12" s="6" t="n"/>
      <c r="G12" s="6" t="n"/>
      <c r="H12" s="7">
        <f>IF(AND(F12="",G12=""),"", "Risk of """ &amp; F12 &amp; """ because of """ &amp; SUBSTITUTE(G12, ", ", """ and """) &amp; """")</f>
        <v/>
      </c>
      <c r="I12" s="5" t="n"/>
      <c r="J12" s="5" t="n"/>
      <c r="K12" s="5" t="n"/>
      <c r="L12" s="8">
        <f>IF(E12="Confidential", 4, IF(E12="Sensitive", 3, IF(E12="Private", 2, IF(E12="Public", 1, ""))))</f>
        <v/>
      </c>
      <c r="M12" s="5" t="n"/>
      <c r="N12" s="8">
        <f>IF(OR(L12="",M12=""), "", L12*M12)</f>
        <v/>
      </c>
      <c r="O12" s="8">
        <f>IF(N12="","", IF(N12&gt;6, "High", IF(N12&gt;=4, "Medium", "Low")))</f>
        <v/>
      </c>
      <c r="P12" s="6" t="n"/>
      <c r="Q12" s="5" t="n"/>
      <c r="R12" s="5" t="n"/>
      <c r="S12" s="5" t="n"/>
      <c r="T12" s="6" t="n"/>
      <c r="U12" s="6" t="n"/>
      <c r="V12" s="6" t="n"/>
      <c r="W12" s="6" t="n"/>
      <c r="X12" s="6" t="n"/>
      <c r="Y12" s="6" t="n"/>
    </row>
    <row r="13" ht="22" customHeight="1">
      <c r="A13" s="5" t="n"/>
      <c r="B13" s="6" t="n"/>
      <c r="C13" s="5" t="n"/>
      <c r="D13" s="5" t="n"/>
      <c r="E13" s="5" t="n"/>
      <c r="F13" s="6" t="n"/>
      <c r="G13" s="6" t="n"/>
      <c r="H13" s="7">
        <f>IF(AND(F13="",G13=""),"", "Risk of """ &amp; F13 &amp; """ because of """ &amp; SUBSTITUTE(G13, ", ", """ and """) &amp; """")</f>
        <v/>
      </c>
      <c r="I13" s="5" t="n"/>
      <c r="J13" s="5" t="n"/>
      <c r="K13" s="5" t="n"/>
      <c r="L13" s="8">
        <f>IF(E13="Confidential", 4, IF(E13="Sensitive", 3, IF(E13="Private", 2, IF(E13="Public", 1, ""))))</f>
        <v/>
      </c>
      <c r="M13" s="5" t="n"/>
      <c r="N13" s="8">
        <f>IF(OR(L13="",M13=""), "", L13*M13)</f>
        <v/>
      </c>
      <c r="O13" s="8">
        <f>IF(N13="","", IF(N13&gt;6, "High", IF(N13&gt;=4, "Medium", "Low")))</f>
        <v/>
      </c>
      <c r="P13" s="6" t="n"/>
      <c r="Q13" s="5" t="n"/>
      <c r="R13" s="5" t="n"/>
      <c r="S13" s="5" t="n"/>
      <c r="T13" s="6" t="n"/>
      <c r="U13" s="6" t="n"/>
      <c r="V13" s="6" t="n"/>
      <c r="W13" s="6" t="n"/>
      <c r="X13" s="6" t="n"/>
      <c r="Y13" s="6" t="n"/>
    </row>
    <row r="14" ht="22" customHeight="1">
      <c r="A14" s="5" t="n"/>
      <c r="B14" s="6" t="n"/>
      <c r="C14" s="5" t="n"/>
      <c r="D14" s="5" t="n"/>
      <c r="E14" s="5" t="n"/>
      <c r="F14" s="6" t="n"/>
      <c r="G14" s="6" t="n"/>
      <c r="H14" s="7">
        <f>IF(AND(F14="",G14=""),"", "Risk of """ &amp; F14 &amp; """ because of """ &amp; SUBSTITUTE(G14, ", ", """ and """) &amp; """")</f>
        <v/>
      </c>
      <c r="I14" s="5" t="n"/>
      <c r="J14" s="5" t="n"/>
      <c r="K14" s="5" t="n"/>
      <c r="L14" s="8">
        <f>IF(E14="Confidential", 4, IF(E14="Sensitive", 3, IF(E14="Private", 2, IF(E14="Public", 1, ""))))</f>
        <v/>
      </c>
      <c r="M14" s="5" t="n"/>
      <c r="N14" s="8">
        <f>IF(OR(L14="",M14=""), "", L14*M14)</f>
        <v/>
      </c>
      <c r="O14" s="8">
        <f>IF(N14="","", IF(N14&gt;6, "High", IF(N14&gt;=4, "Medium", "Low")))</f>
        <v/>
      </c>
      <c r="P14" s="6" t="n"/>
      <c r="Q14" s="5" t="n"/>
      <c r="R14" s="5" t="n"/>
      <c r="S14" s="5" t="n"/>
      <c r="T14" s="6" t="n"/>
      <c r="U14" s="6" t="n"/>
      <c r="V14" s="6" t="n"/>
      <c r="W14" s="6" t="n"/>
      <c r="X14" s="6" t="n"/>
      <c r="Y14" s="6" t="n"/>
    </row>
    <row r="15" ht="22" customHeight="1">
      <c r="A15" s="5" t="n"/>
      <c r="B15" s="6" t="n"/>
      <c r="C15" s="5" t="n"/>
      <c r="D15" s="5" t="n"/>
      <c r="E15" s="5" t="n"/>
      <c r="F15" s="6" t="n"/>
      <c r="G15" s="6" t="n"/>
      <c r="H15" s="7">
        <f>IF(AND(F15="",G15=""),"", "Risk of """ &amp; F15 &amp; """ because of """ &amp; SUBSTITUTE(G15, ", ", """ and """) &amp; """")</f>
        <v/>
      </c>
      <c r="I15" s="5" t="n"/>
      <c r="J15" s="5" t="n"/>
      <c r="K15" s="5" t="n"/>
      <c r="L15" s="8">
        <f>IF(E15="Confidential", 4, IF(E15="Sensitive", 3, IF(E15="Private", 2, IF(E15="Public", 1, ""))))</f>
        <v/>
      </c>
      <c r="M15" s="5" t="n"/>
      <c r="N15" s="8">
        <f>IF(OR(L15="",M15=""), "", L15*M15)</f>
        <v/>
      </c>
      <c r="O15" s="8">
        <f>IF(N15="","", IF(N15&gt;6, "High", IF(N15&gt;=4, "Medium", "Low")))</f>
        <v/>
      </c>
      <c r="P15" s="6" t="n"/>
      <c r="Q15" s="5" t="n"/>
      <c r="R15" s="5" t="n"/>
      <c r="S15" s="5" t="n"/>
      <c r="T15" s="6" t="n"/>
      <c r="U15" s="6" t="n"/>
      <c r="V15" s="6" t="n"/>
      <c r="W15" s="6" t="n"/>
      <c r="X15" s="6" t="n"/>
      <c r="Y15" s="6" t="n"/>
    </row>
    <row r="16" ht="22" customHeight="1">
      <c r="A16" s="5" t="n"/>
      <c r="B16" s="6" t="n"/>
      <c r="C16" s="5" t="n"/>
      <c r="D16" s="5" t="n"/>
      <c r="E16" s="5" t="n"/>
      <c r="F16" s="6" t="n"/>
      <c r="G16" s="6" t="n"/>
      <c r="H16" s="7">
        <f>IF(AND(F16="",G16=""),"", "Risk of """ &amp; F16 &amp; """ because of """ &amp; SUBSTITUTE(G16, ", ", """ and """) &amp; """")</f>
        <v/>
      </c>
      <c r="I16" s="5" t="n"/>
      <c r="J16" s="5" t="n"/>
      <c r="K16" s="5" t="n"/>
      <c r="L16" s="8">
        <f>IF(E16="Confidential", 4, IF(E16="Sensitive", 3, IF(E16="Private", 2, IF(E16="Public", 1, ""))))</f>
        <v/>
      </c>
      <c r="M16" s="5" t="n"/>
      <c r="N16" s="8">
        <f>IF(OR(L16="",M16=""), "", L16*M16)</f>
        <v/>
      </c>
      <c r="O16" s="8">
        <f>IF(N16="","", IF(N16&gt;6, "High", IF(N16&gt;=4, "Medium", "Low")))</f>
        <v/>
      </c>
      <c r="P16" s="6" t="n"/>
      <c r="Q16" s="5" t="n"/>
      <c r="R16" s="5" t="n"/>
      <c r="S16" s="5" t="n"/>
      <c r="T16" s="6" t="n"/>
      <c r="U16" s="6" t="n"/>
      <c r="V16" s="6" t="n"/>
      <c r="W16" s="6" t="n"/>
      <c r="X16" s="6" t="n"/>
      <c r="Y16" s="6" t="n"/>
    </row>
    <row r="17" ht="22" customHeight="1">
      <c r="A17" s="5" t="n"/>
      <c r="B17" s="6" t="n"/>
      <c r="C17" s="5" t="n"/>
      <c r="D17" s="5" t="n"/>
      <c r="E17" s="5" t="n"/>
      <c r="F17" s="6" t="n"/>
      <c r="G17" s="6" t="n"/>
      <c r="H17" s="7">
        <f>IF(AND(F17="",G17=""),"", "Risk of """ &amp; F17 &amp; """ because of """ &amp; SUBSTITUTE(G17, ", ", """ and """) &amp; """")</f>
        <v/>
      </c>
      <c r="I17" s="5" t="n"/>
      <c r="J17" s="5" t="n"/>
      <c r="K17" s="5" t="n"/>
      <c r="L17" s="8">
        <f>IF(E17="Confidential", 4, IF(E17="Sensitive", 3, IF(E17="Private", 2, IF(E17="Public", 1, ""))))</f>
        <v/>
      </c>
      <c r="M17" s="5" t="n"/>
      <c r="N17" s="8">
        <f>IF(OR(L17="",M17=""), "", L17*M17)</f>
        <v/>
      </c>
      <c r="O17" s="8">
        <f>IF(N17="","", IF(N17&gt;6, "High", IF(N17&gt;=4, "Medium", "Low")))</f>
        <v/>
      </c>
      <c r="P17" s="6" t="n"/>
      <c r="Q17" s="5" t="n"/>
      <c r="R17" s="5" t="n"/>
      <c r="S17" s="5" t="n"/>
      <c r="T17" s="6" t="n"/>
      <c r="U17" s="6" t="n"/>
      <c r="V17" s="6" t="n"/>
      <c r="W17" s="6" t="n"/>
      <c r="X17" s="6" t="n"/>
      <c r="Y17" s="6" t="n"/>
    </row>
    <row r="18" ht="22" customHeight="1">
      <c r="A18" s="5" t="n"/>
      <c r="B18" s="6" t="n"/>
      <c r="C18" s="5" t="n"/>
      <c r="D18" s="5" t="n"/>
      <c r="E18" s="5" t="n"/>
      <c r="F18" s="6" t="n"/>
      <c r="G18" s="6" t="n"/>
      <c r="H18" s="7">
        <f>IF(AND(F18="",G18=""),"", "Risk of """ &amp; F18 &amp; """ because of """ &amp; SUBSTITUTE(G18, ", ", """ and """) &amp; """")</f>
        <v/>
      </c>
      <c r="I18" s="5" t="n"/>
      <c r="J18" s="5" t="n"/>
      <c r="K18" s="5" t="n"/>
      <c r="L18" s="8">
        <f>IF(E18="Confidential", 4, IF(E18="Sensitive", 3, IF(E18="Private", 2, IF(E18="Public", 1, ""))))</f>
        <v/>
      </c>
      <c r="M18" s="5" t="n"/>
      <c r="N18" s="8">
        <f>IF(OR(L18="",M18=""), "", L18*M18)</f>
        <v/>
      </c>
      <c r="O18" s="8">
        <f>IF(N18="","", IF(N18&gt;6, "High", IF(N18&gt;=4, "Medium", "Low")))</f>
        <v/>
      </c>
      <c r="P18" s="6" t="n"/>
      <c r="Q18" s="5" t="n"/>
      <c r="R18" s="5" t="n"/>
      <c r="S18" s="5" t="n"/>
      <c r="T18" s="6" t="n"/>
      <c r="U18" s="6" t="n"/>
      <c r="V18" s="6" t="n"/>
      <c r="W18" s="6" t="n"/>
      <c r="X18" s="6" t="n"/>
      <c r="Y18" s="6" t="n"/>
    </row>
    <row r="19" ht="22" customHeight="1">
      <c r="A19" s="5" t="n"/>
      <c r="B19" s="6" t="n"/>
      <c r="C19" s="5" t="n"/>
      <c r="D19" s="5" t="n"/>
      <c r="E19" s="5" t="n"/>
      <c r="F19" s="6" t="n"/>
      <c r="G19" s="6" t="n"/>
      <c r="H19" s="7">
        <f>IF(AND(F19="",G19=""),"", "Risk of """ &amp; F19 &amp; """ because of """ &amp; SUBSTITUTE(G19, ", ", """ and """) &amp; """")</f>
        <v/>
      </c>
      <c r="I19" s="5" t="n"/>
      <c r="J19" s="5" t="n"/>
      <c r="K19" s="5" t="n"/>
      <c r="L19" s="8">
        <f>IF(E19="Confidential", 4, IF(E19="Sensitive", 3, IF(E19="Private", 2, IF(E19="Public", 1, ""))))</f>
        <v/>
      </c>
      <c r="M19" s="5" t="n"/>
      <c r="N19" s="8">
        <f>IF(OR(L19="",M19=""), "", L19*M19)</f>
        <v/>
      </c>
      <c r="O19" s="8">
        <f>IF(N19="","", IF(N19&gt;6, "High", IF(N19&gt;=4, "Medium", "Low")))</f>
        <v/>
      </c>
      <c r="P19" s="6" t="n"/>
      <c r="Q19" s="5" t="n"/>
      <c r="R19" s="5" t="n"/>
      <c r="S19" s="5" t="n"/>
      <c r="T19" s="6" t="n"/>
      <c r="U19" s="6" t="n"/>
      <c r="V19" s="6" t="n"/>
      <c r="W19" s="6" t="n"/>
      <c r="X19" s="6" t="n"/>
      <c r="Y19" s="6" t="n"/>
    </row>
    <row r="20" ht="22" customHeight="1">
      <c r="A20" s="5" t="n"/>
      <c r="B20" s="6" t="n"/>
      <c r="C20" s="5" t="n"/>
      <c r="D20" s="5" t="n"/>
      <c r="E20" s="5" t="n"/>
      <c r="F20" s="6" t="n"/>
      <c r="G20" s="6" t="n"/>
      <c r="H20" s="7">
        <f>IF(AND(F20="",G20=""),"", "Risk of """ &amp; F20 &amp; """ because of """ &amp; SUBSTITUTE(G20, ", ", """ and """) &amp; """")</f>
        <v/>
      </c>
      <c r="I20" s="5" t="n"/>
      <c r="J20" s="5" t="n"/>
      <c r="K20" s="5" t="n"/>
      <c r="L20" s="8">
        <f>IF(E20="Confidential", 4, IF(E20="Sensitive", 3, IF(E20="Private", 2, IF(E20="Public", 1, ""))))</f>
        <v/>
      </c>
      <c r="M20" s="5" t="n"/>
      <c r="N20" s="8">
        <f>IF(OR(L20="",M20=""), "", L20*M20)</f>
        <v/>
      </c>
      <c r="O20" s="8">
        <f>IF(N20="","", IF(N20&gt;6, "High", IF(N20&gt;=4, "Medium", "Low")))</f>
        <v/>
      </c>
      <c r="P20" s="6" t="n"/>
      <c r="Q20" s="5" t="n"/>
      <c r="R20" s="5" t="n"/>
      <c r="S20" s="5" t="n"/>
      <c r="T20" s="6" t="n"/>
      <c r="U20" s="6" t="n"/>
      <c r="V20" s="6" t="n"/>
      <c r="W20" s="6" t="n"/>
      <c r="X20" s="6" t="n"/>
      <c r="Y20" s="6" t="n"/>
    </row>
    <row r="21" ht="22" customHeight="1">
      <c r="A21" s="5" t="n"/>
      <c r="B21" s="6" t="n"/>
      <c r="C21" s="5" t="n"/>
      <c r="D21" s="5" t="n"/>
      <c r="E21" s="5" t="n"/>
      <c r="F21" s="6" t="n"/>
      <c r="G21" s="6" t="n"/>
      <c r="H21" s="7">
        <f>IF(AND(F21="",G21=""),"", "Risk of """ &amp; F21 &amp; """ because of """ &amp; SUBSTITUTE(G21, ", ", """ and """) &amp; """")</f>
        <v/>
      </c>
      <c r="I21" s="5" t="n"/>
      <c r="J21" s="5" t="n"/>
      <c r="K21" s="5" t="n"/>
      <c r="L21" s="8">
        <f>IF(E21="Confidential", 4, IF(E21="Sensitive", 3, IF(E21="Private", 2, IF(E21="Public", 1, ""))))</f>
        <v/>
      </c>
      <c r="M21" s="5" t="n"/>
      <c r="N21" s="8">
        <f>IF(OR(L21="",M21=""), "", L21*M21)</f>
        <v/>
      </c>
      <c r="O21" s="8">
        <f>IF(N21="","", IF(N21&gt;6, "High", IF(N21&gt;=4, "Medium", "Low")))</f>
        <v/>
      </c>
      <c r="P21" s="6" t="n"/>
      <c r="Q21" s="5" t="n"/>
      <c r="R21" s="5" t="n"/>
      <c r="S21" s="5" t="n"/>
      <c r="T21" s="6" t="n"/>
      <c r="U21" s="6" t="n"/>
      <c r="V21" s="6" t="n"/>
      <c r="W21" s="6" t="n"/>
      <c r="X21" s="6" t="n"/>
      <c r="Y21" s="6" t="n"/>
    </row>
    <row r="22" ht="22" customHeight="1">
      <c r="A22" s="5" t="n"/>
      <c r="B22" s="6" t="n"/>
      <c r="C22" s="5" t="n"/>
      <c r="D22" s="5" t="n"/>
      <c r="E22" s="5" t="n"/>
      <c r="F22" s="6" t="n"/>
      <c r="G22" s="6" t="n"/>
      <c r="H22" s="7">
        <f>IF(AND(F22="",G22=""),"", "Risk of """ &amp; F22 &amp; """ because of """ &amp; SUBSTITUTE(G22, ", ", """ and """) &amp; """")</f>
        <v/>
      </c>
      <c r="I22" s="5" t="n"/>
      <c r="J22" s="5" t="n"/>
      <c r="K22" s="5" t="n"/>
      <c r="L22" s="8">
        <f>IF(E22="Confidential", 4, IF(E22="Sensitive", 3, IF(E22="Private", 2, IF(E22="Public", 1, ""))))</f>
        <v/>
      </c>
      <c r="M22" s="5" t="n"/>
      <c r="N22" s="8">
        <f>IF(OR(L22="",M22=""), "", L22*M22)</f>
        <v/>
      </c>
      <c r="O22" s="8">
        <f>IF(N22="","", IF(N22&gt;6, "High", IF(N22&gt;=4, "Medium", "Low")))</f>
        <v/>
      </c>
      <c r="P22" s="6" t="n"/>
      <c r="Q22" s="5" t="n"/>
      <c r="R22" s="5" t="n"/>
      <c r="S22" s="5" t="n"/>
      <c r="T22" s="6" t="n"/>
      <c r="U22" s="6" t="n"/>
      <c r="V22" s="6" t="n"/>
      <c r="W22" s="6" t="n"/>
      <c r="X22" s="6" t="n"/>
      <c r="Y22" s="6" t="n"/>
    </row>
    <row r="23" ht="22" customHeight="1">
      <c r="A23" s="5" t="n"/>
      <c r="B23" s="6" t="n"/>
      <c r="C23" s="5" t="n"/>
      <c r="D23" s="5" t="n"/>
      <c r="E23" s="5" t="n"/>
      <c r="F23" s="6" t="n"/>
      <c r="G23" s="6" t="n"/>
      <c r="H23" s="7">
        <f>IF(AND(F23="",G23=""),"", "Risk of """ &amp; F23 &amp; """ because of """ &amp; SUBSTITUTE(G23, ", ", """ and """) &amp; """")</f>
        <v/>
      </c>
      <c r="I23" s="5" t="n"/>
      <c r="J23" s="5" t="n"/>
      <c r="K23" s="5" t="n"/>
      <c r="L23" s="8">
        <f>IF(E23="Confidential", 4, IF(E23="Sensitive", 3, IF(E23="Private", 2, IF(E23="Public", 1, ""))))</f>
        <v/>
      </c>
      <c r="M23" s="5" t="n"/>
      <c r="N23" s="8">
        <f>IF(OR(L23="",M23=""), "", L23*M23)</f>
        <v/>
      </c>
      <c r="O23" s="8">
        <f>IF(N23="","", IF(N23&gt;6, "High", IF(N23&gt;=4, "Medium", "Low")))</f>
        <v/>
      </c>
      <c r="P23" s="6" t="n"/>
      <c r="Q23" s="5" t="n"/>
      <c r="R23" s="5" t="n"/>
      <c r="S23" s="5" t="n"/>
      <c r="T23" s="6" t="n"/>
      <c r="U23" s="6" t="n"/>
      <c r="V23" s="6" t="n"/>
      <c r="W23" s="6" t="n"/>
      <c r="X23" s="6" t="n"/>
      <c r="Y23" s="6" t="n"/>
    </row>
    <row r="24" ht="22" customHeight="1">
      <c r="A24" s="5" t="n"/>
      <c r="B24" s="6" t="n"/>
      <c r="C24" s="5" t="n"/>
      <c r="D24" s="5" t="n"/>
      <c r="E24" s="5" t="n"/>
      <c r="F24" s="6" t="n"/>
      <c r="G24" s="6" t="n"/>
      <c r="H24" s="7">
        <f>IF(AND(F24="",G24=""),"", "Risk of """ &amp; F24 &amp; """ because of """ &amp; SUBSTITUTE(G24, ", ", """ and """) &amp; """")</f>
        <v/>
      </c>
      <c r="I24" s="5" t="n"/>
      <c r="J24" s="5" t="n"/>
      <c r="K24" s="5" t="n"/>
      <c r="L24" s="8">
        <f>IF(E24="Confidential", 4, IF(E24="Sensitive", 3, IF(E24="Private", 2, IF(E24="Public", 1, ""))))</f>
        <v/>
      </c>
      <c r="M24" s="5" t="n"/>
      <c r="N24" s="8">
        <f>IF(OR(L24="",M24=""), "", L24*M24)</f>
        <v/>
      </c>
      <c r="O24" s="8">
        <f>IF(N24="","", IF(N24&gt;6, "High", IF(N24&gt;=4, "Medium", "Low")))</f>
        <v/>
      </c>
      <c r="P24" s="6" t="n"/>
      <c r="Q24" s="5" t="n"/>
      <c r="R24" s="5" t="n"/>
      <c r="S24" s="5" t="n"/>
      <c r="T24" s="6" t="n"/>
      <c r="U24" s="6" t="n"/>
      <c r="V24" s="6" t="n"/>
      <c r="W24" s="6" t="n"/>
      <c r="X24" s="6" t="n"/>
      <c r="Y24" s="6" t="n"/>
    </row>
    <row r="25" ht="22" customHeight="1">
      <c r="A25" s="5" t="n"/>
      <c r="B25" s="6" t="n"/>
      <c r="C25" s="5" t="n"/>
      <c r="D25" s="5" t="n"/>
      <c r="E25" s="5" t="n"/>
      <c r="F25" s="6" t="n"/>
      <c r="G25" s="6" t="n"/>
      <c r="H25" s="7">
        <f>IF(AND(F25="",G25=""),"", "Risk of """ &amp; F25 &amp; """ because of """ &amp; SUBSTITUTE(G25, ", ", """ and """) &amp; """")</f>
        <v/>
      </c>
      <c r="I25" s="5" t="n"/>
      <c r="J25" s="5" t="n"/>
      <c r="K25" s="5" t="n"/>
      <c r="L25" s="8">
        <f>IF(E25="Confidential", 4, IF(E25="Sensitive", 3, IF(E25="Private", 2, IF(E25="Public", 1, ""))))</f>
        <v/>
      </c>
      <c r="M25" s="5" t="n"/>
      <c r="N25" s="8">
        <f>IF(OR(L25="",M25=""), "", L25*M25)</f>
        <v/>
      </c>
      <c r="O25" s="8">
        <f>IF(N25="","", IF(N25&gt;6, "High", IF(N25&gt;=4, "Medium", "Low")))</f>
        <v/>
      </c>
      <c r="P25" s="6" t="n"/>
      <c r="Q25" s="5" t="n"/>
      <c r="R25" s="5" t="n"/>
      <c r="S25" s="5" t="n"/>
      <c r="T25" s="6" t="n"/>
      <c r="U25" s="6" t="n"/>
      <c r="V25" s="6" t="n"/>
      <c r="W25" s="6" t="n"/>
      <c r="X25" s="6" t="n"/>
      <c r="Y25" s="6" t="n"/>
    </row>
    <row r="26" ht="22" customHeight="1">
      <c r="A26" s="5" t="n"/>
      <c r="B26" s="6" t="n"/>
      <c r="C26" s="5" t="n"/>
      <c r="D26" s="5" t="n"/>
      <c r="E26" s="5" t="n"/>
      <c r="F26" s="6" t="n"/>
      <c r="G26" s="6" t="n"/>
      <c r="H26" s="7">
        <f>IF(AND(F26="",G26=""),"", "Risk of """ &amp; F26 &amp; """ because of """ &amp; SUBSTITUTE(G26, ", ", """ and """) &amp; """")</f>
        <v/>
      </c>
      <c r="I26" s="5" t="n"/>
      <c r="J26" s="5" t="n"/>
      <c r="K26" s="5" t="n"/>
      <c r="L26" s="8">
        <f>IF(E26="Confidential", 4, IF(E26="Sensitive", 3, IF(E26="Private", 2, IF(E26="Public", 1, ""))))</f>
        <v/>
      </c>
      <c r="M26" s="5" t="n"/>
      <c r="N26" s="8">
        <f>IF(OR(L26="",M26=""), "", L26*M26)</f>
        <v/>
      </c>
      <c r="O26" s="8">
        <f>IF(N26="","", IF(N26&gt;6, "High", IF(N26&gt;=4, "Medium", "Low")))</f>
        <v/>
      </c>
      <c r="P26" s="6" t="n"/>
      <c r="Q26" s="5" t="n"/>
      <c r="R26" s="5" t="n"/>
      <c r="S26" s="5" t="n"/>
      <c r="T26" s="6" t="n"/>
      <c r="U26" s="6" t="n"/>
      <c r="V26" s="6" t="n"/>
      <c r="W26" s="6" t="n"/>
      <c r="X26" s="6" t="n"/>
      <c r="Y26" s="6" t="n"/>
    </row>
    <row r="27" ht="22" customHeight="1">
      <c r="A27" s="5" t="n"/>
      <c r="B27" s="6" t="n"/>
      <c r="C27" s="5" t="n"/>
      <c r="D27" s="5" t="n"/>
      <c r="E27" s="5" t="n"/>
      <c r="F27" s="6" t="n"/>
      <c r="G27" s="6" t="n"/>
      <c r="H27" s="7">
        <f>IF(AND(F27="",G27=""),"", "Risk of """ &amp; F27 &amp; """ because of """ &amp; SUBSTITUTE(G27, ", ", """ and """) &amp; """")</f>
        <v/>
      </c>
      <c r="I27" s="5" t="n"/>
      <c r="J27" s="5" t="n"/>
      <c r="K27" s="5" t="n"/>
      <c r="L27" s="8">
        <f>IF(E27="Confidential", 4, IF(E27="Sensitive", 3, IF(E27="Private", 2, IF(E27="Public", 1, ""))))</f>
        <v/>
      </c>
      <c r="M27" s="5" t="n"/>
      <c r="N27" s="8">
        <f>IF(OR(L27="",M27=""), "", L27*M27)</f>
        <v/>
      </c>
      <c r="O27" s="8">
        <f>IF(N27="","", IF(N27&gt;6, "High", IF(N27&gt;=4, "Medium", "Low")))</f>
        <v/>
      </c>
      <c r="P27" s="6" t="n"/>
      <c r="Q27" s="5" t="n"/>
      <c r="R27" s="5" t="n"/>
      <c r="S27" s="5" t="n"/>
      <c r="T27" s="6" t="n"/>
      <c r="U27" s="6" t="n"/>
      <c r="V27" s="6" t="n"/>
      <c r="W27" s="6" t="n"/>
      <c r="X27" s="6" t="n"/>
      <c r="Y27" s="6" t="n"/>
    </row>
    <row r="28" ht="22" customHeight="1">
      <c r="A28" s="5" t="n"/>
      <c r="B28" s="6" t="n"/>
      <c r="C28" s="5" t="n"/>
      <c r="D28" s="5" t="n"/>
      <c r="E28" s="5" t="n"/>
      <c r="F28" s="6" t="n"/>
      <c r="G28" s="6" t="n"/>
      <c r="H28" s="7">
        <f>IF(AND(F28="",G28=""),"", "Risk of """ &amp; F28 &amp; """ because of """ &amp; SUBSTITUTE(G28, ", ", """ and """) &amp; """")</f>
        <v/>
      </c>
      <c r="I28" s="5" t="n"/>
      <c r="J28" s="5" t="n"/>
      <c r="K28" s="5" t="n"/>
      <c r="L28" s="8">
        <f>IF(E28="Confidential", 4, IF(E28="Sensitive", 3, IF(E28="Private", 2, IF(E28="Public", 1, ""))))</f>
        <v/>
      </c>
      <c r="M28" s="5" t="n"/>
      <c r="N28" s="8">
        <f>IF(OR(L28="",M28=""), "", L28*M28)</f>
        <v/>
      </c>
      <c r="O28" s="8">
        <f>IF(N28="","", IF(N28&gt;6, "High", IF(N28&gt;=4, "Medium", "Low")))</f>
        <v/>
      </c>
      <c r="P28" s="6" t="n"/>
      <c r="Q28" s="5" t="n"/>
      <c r="R28" s="5" t="n"/>
      <c r="S28" s="5" t="n"/>
      <c r="T28" s="6" t="n"/>
      <c r="U28" s="6" t="n"/>
      <c r="V28" s="6" t="n"/>
      <c r="W28" s="6" t="n"/>
      <c r="X28" s="6" t="n"/>
      <c r="Y28" s="6" t="n"/>
    </row>
    <row r="29" ht="22" customHeight="1">
      <c r="A29" s="5" t="n"/>
      <c r="B29" s="6" t="n"/>
      <c r="C29" s="5" t="n"/>
      <c r="D29" s="5" t="n"/>
      <c r="E29" s="5" t="n"/>
      <c r="F29" s="6" t="n"/>
      <c r="G29" s="6" t="n"/>
      <c r="H29" s="7">
        <f>IF(AND(F29="",G29=""),"", "Risk of """ &amp; F29 &amp; """ because of """ &amp; SUBSTITUTE(G29, ", ", """ and """) &amp; """")</f>
        <v/>
      </c>
      <c r="I29" s="5" t="n"/>
      <c r="J29" s="5" t="n"/>
      <c r="K29" s="5" t="n"/>
      <c r="L29" s="8">
        <f>IF(E29="Confidential", 4, IF(E29="Sensitive", 3, IF(E29="Private", 2, IF(E29="Public", 1, ""))))</f>
        <v/>
      </c>
      <c r="M29" s="5" t="n"/>
      <c r="N29" s="8">
        <f>IF(OR(L29="",M29=""), "", L29*M29)</f>
        <v/>
      </c>
      <c r="O29" s="8">
        <f>IF(N29="","", IF(N29&gt;6, "High", IF(N29&gt;=4, "Medium", "Low")))</f>
        <v/>
      </c>
      <c r="P29" s="6" t="n"/>
      <c r="Q29" s="5" t="n"/>
      <c r="R29" s="5" t="n"/>
      <c r="S29" s="5" t="n"/>
      <c r="T29" s="6" t="n"/>
      <c r="U29" s="6" t="n"/>
      <c r="V29" s="6" t="n"/>
      <c r="W29" s="6" t="n"/>
      <c r="X29" s="6" t="n"/>
      <c r="Y29" s="6" t="n"/>
    </row>
    <row r="30" ht="22" customHeight="1">
      <c r="A30" s="5" t="n"/>
      <c r="B30" s="6" t="n"/>
      <c r="C30" s="5" t="n"/>
      <c r="D30" s="5" t="n"/>
      <c r="E30" s="5" t="n"/>
      <c r="F30" s="6" t="n"/>
      <c r="G30" s="6" t="n"/>
      <c r="H30" s="7">
        <f>IF(AND(F30="",G30=""),"", "Risk of """ &amp; F30 &amp; """ because of """ &amp; SUBSTITUTE(G30, ", ", """ and """) &amp; """")</f>
        <v/>
      </c>
      <c r="I30" s="5" t="n"/>
      <c r="J30" s="5" t="n"/>
      <c r="K30" s="5" t="n"/>
      <c r="L30" s="8">
        <f>IF(E30="Confidential", 4, IF(E30="Sensitive", 3, IF(E30="Private", 2, IF(E30="Public", 1, ""))))</f>
        <v/>
      </c>
      <c r="M30" s="5" t="n"/>
      <c r="N30" s="8">
        <f>IF(OR(L30="",M30=""), "", L30*M30)</f>
        <v/>
      </c>
      <c r="O30" s="8">
        <f>IF(N30="","", IF(N30&gt;6, "High", IF(N30&gt;=4, "Medium", "Low")))</f>
        <v/>
      </c>
      <c r="P30" s="6" t="n"/>
      <c r="Q30" s="5" t="n"/>
      <c r="R30" s="5" t="n"/>
      <c r="S30" s="5" t="n"/>
      <c r="T30" s="6" t="n"/>
      <c r="U30" s="6" t="n"/>
      <c r="V30" s="6" t="n"/>
      <c r="W30" s="6" t="n"/>
      <c r="X30" s="6" t="n"/>
      <c r="Y30" s="6" t="n"/>
    </row>
    <row r="31" ht="22" customHeight="1">
      <c r="A31" s="5" t="n"/>
      <c r="B31" s="6" t="n"/>
      <c r="C31" s="5" t="n"/>
      <c r="D31" s="5" t="n"/>
      <c r="E31" s="5" t="n"/>
      <c r="F31" s="6" t="n"/>
      <c r="G31" s="6" t="n"/>
      <c r="H31" s="7">
        <f>IF(AND(F31="",G31=""),"", "Risk of """ &amp; F31 &amp; """ because of """ &amp; SUBSTITUTE(G31, ", ", """ and """) &amp; """")</f>
        <v/>
      </c>
      <c r="I31" s="5" t="n"/>
      <c r="J31" s="5" t="n"/>
      <c r="K31" s="5" t="n"/>
      <c r="L31" s="8">
        <f>IF(E31="Confidential", 4, IF(E31="Sensitive", 3, IF(E31="Private", 2, IF(E31="Public", 1, ""))))</f>
        <v/>
      </c>
      <c r="M31" s="5" t="n"/>
      <c r="N31" s="8">
        <f>IF(OR(L31="",M31=""), "", L31*M31)</f>
        <v/>
      </c>
      <c r="O31" s="8">
        <f>IF(N31="","", IF(N31&gt;6, "High", IF(N31&gt;=4, "Medium", "Low")))</f>
        <v/>
      </c>
      <c r="P31" s="6" t="n"/>
      <c r="Q31" s="5" t="n"/>
      <c r="R31" s="5" t="n"/>
      <c r="S31" s="5" t="n"/>
      <c r="T31" s="6" t="n"/>
      <c r="U31" s="6" t="n"/>
      <c r="V31" s="6" t="n"/>
      <c r="W31" s="6" t="n"/>
      <c r="X31" s="6" t="n"/>
      <c r="Y31" s="6" t="n"/>
    </row>
    <row r="32" ht="22" customHeight="1">
      <c r="A32" s="5" t="n"/>
      <c r="B32" s="6" t="n"/>
      <c r="C32" s="5" t="n"/>
      <c r="D32" s="5" t="n"/>
      <c r="E32" s="5" t="n"/>
      <c r="F32" s="6" t="n"/>
      <c r="G32" s="6" t="n"/>
      <c r="H32" s="7">
        <f>IF(AND(F32="",G32=""),"", "Risk of """ &amp; F32 &amp; """ because of """ &amp; SUBSTITUTE(G32, ", ", """ and """) &amp; """")</f>
        <v/>
      </c>
      <c r="I32" s="5" t="n"/>
      <c r="J32" s="5" t="n"/>
      <c r="K32" s="5" t="n"/>
      <c r="L32" s="8">
        <f>IF(E32="Confidential", 4, IF(E32="Sensitive", 3, IF(E32="Private", 2, IF(E32="Public", 1, ""))))</f>
        <v/>
      </c>
      <c r="M32" s="5" t="n"/>
      <c r="N32" s="8">
        <f>IF(OR(L32="",M32=""), "", L32*M32)</f>
        <v/>
      </c>
      <c r="O32" s="8">
        <f>IF(N32="","", IF(N32&gt;6, "High", IF(N32&gt;=4, "Medium", "Low")))</f>
        <v/>
      </c>
      <c r="P32" s="6" t="n"/>
      <c r="Q32" s="5" t="n"/>
      <c r="R32" s="5" t="n"/>
      <c r="S32" s="5" t="n"/>
      <c r="T32" s="6" t="n"/>
      <c r="U32" s="6" t="n"/>
      <c r="V32" s="6" t="n"/>
      <c r="W32" s="6" t="n"/>
      <c r="X32" s="6" t="n"/>
      <c r="Y32" s="6" t="n"/>
    </row>
    <row r="33" ht="22" customHeight="1">
      <c r="A33" s="5" t="n"/>
      <c r="B33" s="6" t="n"/>
      <c r="C33" s="5" t="n"/>
      <c r="D33" s="5" t="n"/>
      <c r="E33" s="5" t="n"/>
      <c r="F33" s="6" t="n"/>
      <c r="G33" s="6" t="n"/>
      <c r="H33" s="7">
        <f>IF(AND(F33="",G33=""),"", "Risk of """ &amp; F33 &amp; """ because of """ &amp; SUBSTITUTE(G33, ", ", """ and """) &amp; """")</f>
        <v/>
      </c>
      <c r="I33" s="5" t="n"/>
      <c r="J33" s="5" t="n"/>
      <c r="K33" s="5" t="n"/>
      <c r="L33" s="8">
        <f>IF(E33="Confidential", 4, IF(E33="Sensitive", 3, IF(E33="Private", 2, IF(E33="Public", 1, ""))))</f>
        <v/>
      </c>
      <c r="M33" s="5" t="n"/>
      <c r="N33" s="8">
        <f>IF(OR(L33="",M33=""), "", L33*M33)</f>
        <v/>
      </c>
      <c r="O33" s="8">
        <f>IF(N33="","", IF(N33&gt;6, "High", IF(N33&gt;=4, "Medium", "Low")))</f>
        <v/>
      </c>
      <c r="P33" s="6" t="n"/>
      <c r="Q33" s="5" t="n"/>
      <c r="R33" s="5" t="n"/>
      <c r="S33" s="5" t="n"/>
      <c r="T33" s="6" t="n"/>
      <c r="U33" s="6" t="n"/>
      <c r="V33" s="6" t="n"/>
      <c r="W33" s="6" t="n"/>
      <c r="X33" s="6" t="n"/>
      <c r="Y33" s="6" t="n"/>
    </row>
    <row r="34" ht="22" customHeight="1">
      <c r="A34" s="5" t="n"/>
      <c r="B34" s="6" t="n"/>
      <c r="C34" s="5" t="n"/>
      <c r="D34" s="5" t="n"/>
      <c r="E34" s="5" t="n"/>
      <c r="F34" s="6" t="n"/>
      <c r="G34" s="6" t="n"/>
      <c r="H34" s="7">
        <f>IF(AND(F34="",G34=""),"", "Risk of """ &amp; F34 &amp; """ because of """ &amp; SUBSTITUTE(G34, ", ", """ and """) &amp; """")</f>
        <v/>
      </c>
      <c r="I34" s="5" t="n"/>
      <c r="J34" s="5" t="n"/>
      <c r="K34" s="5" t="n"/>
      <c r="L34" s="8">
        <f>IF(E34="Confidential", 4, IF(E34="Sensitive", 3, IF(E34="Private", 2, IF(E34="Public", 1, ""))))</f>
        <v/>
      </c>
      <c r="M34" s="5" t="n"/>
      <c r="N34" s="8">
        <f>IF(OR(L34="",M34=""), "", L34*M34)</f>
        <v/>
      </c>
      <c r="O34" s="8">
        <f>IF(N34="","", IF(N34&gt;6, "High", IF(N34&gt;=4, "Medium", "Low")))</f>
        <v/>
      </c>
      <c r="P34" s="6" t="n"/>
      <c r="Q34" s="5" t="n"/>
      <c r="R34" s="5" t="n"/>
      <c r="S34" s="5" t="n"/>
      <c r="T34" s="6" t="n"/>
      <c r="U34" s="6" t="n"/>
      <c r="V34" s="6" t="n"/>
      <c r="W34" s="6" t="n"/>
      <c r="X34" s="6" t="n"/>
      <c r="Y34" s="6" t="n"/>
    </row>
    <row r="35" ht="22" customHeight="1">
      <c r="A35" s="5" t="n"/>
      <c r="B35" s="6" t="n"/>
      <c r="C35" s="5" t="n"/>
      <c r="D35" s="5" t="n"/>
      <c r="E35" s="5" t="n"/>
      <c r="F35" s="6" t="n"/>
      <c r="G35" s="6" t="n"/>
      <c r="H35" s="7">
        <f>IF(AND(F35="",G35=""),"", "Risk of """ &amp; F35 &amp; """ because of """ &amp; SUBSTITUTE(G35, ", ", """ and """) &amp; """")</f>
        <v/>
      </c>
      <c r="I35" s="5" t="n"/>
      <c r="J35" s="5" t="n"/>
      <c r="K35" s="5" t="n"/>
      <c r="L35" s="8">
        <f>IF(E35="Confidential", 4, IF(E35="Sensitive", 3, IF(E35="Private", 2, IF(E35="Public", 1, ""))))</f>
        <v/>
      </c>
      <c r="M35" s="5" t="n"/>
      <c r="N35" s="8">
        <f>IF(OR(L35="",M35=""), "", L35*M35)</f>
        <v/>
      </c>
      <c r="O35" s="8">
        <f>IF(N35="","", IF(N35&gt;6, "High", IF(N35&gt;=4, "Medium", "Low")))</f>
        <v/>
      </c>
      <c r="P35" s="6" t="n"/>
      <c r="Q35" s="5" t="n"/>
      <c r="R35" s="5" t="n"/>
      <c r="S35" s="5" t="n"/>
      <c r="T35" s="6" t="n"/>
      <c r="U35" s="6" t="n"/>
      <c r="V35" s="6" t="n"/>
      <c r="W35" s="6" t="n"/>
      <c r="X35" s="6" t="n"/>
      <c r="Y35" s="6" t="n"/>
    </row>
    <row r="36" ht="22" customHeight="1">
      <c r="A36" s="5" t="n"/>
      <c r="B36" s="6" t="n"/>
      <c r="C36" s="5" t="n"/>
      <c r="D36" s="5" t="n"/>
      <c r="E36" s="5" t="n"/>
      <c r="F36" s="6" t="n"/>
      <c r="G36" s="6" t="n"/>
      <c r="H36" s="7">
        <f>IF(AND(F36="",G36=""),"", "Risk of """ &amp; F36 &amp; """ because of """ &amp; SUBSTITUTE(G36, ", ", """ and """) &amp; """")</f>
        <v/>
      </c>
      <c r="I36" s="5" t="n"/>
      <c r="J36" s="5" t="n"/>
      <c r="K36" s="5" t="n"/>
      <c r="L36" s="8">
        <f>IF(E36="Confidential", 4, IF(E36="Sensitive", 3, IF(E36="Private", 2, IF(E36="Public", 1, ""))))</f>
        <v/>
      </c>
      <c r="M36" s="5" t="n"/>
      <c r="N36" s="8">
        <f>IF(OR(L36="",M36=""), "", L36*M36)</f>
        <v/>
      </c>
      <c r="O36" s="8">
        <f>IF(N36="","", IF(N36&gt;6, "High", IF(N36&gt;=4, "Medium", "Low")))</f>
        <v/>
      </c>
      <c r="P36" s="6" t="n"/>
      <c r="Q36" s="5" t="n"/>
      <c r="R36" s="5" t="n"/>
      <c r="S36" s="5" t="n"/>
      <c r="T36" s="6" t="n"/>
      <c r="U36" s="6" t="n"/>
      <c r="V36" s="6" t="n"/>
      <c r="W36" s="6" t="n"/>
      <c r="X36" s="6" t="n"/>
      <c r="Y36" s="6" t="n"/>
    </row>
    <row r="37" ht="22" customHeight="1">
      <c r="A37" s="5" t="n"/>
      <c r="B37" s="6" t="n"/>
      <c r="C37" s="5" t="n"/>
      <c r="D37" s="5" t="n"/>
      <c r="E37" s="5" t="n"/>
      <c r="F37" s="6" t="n"/>
      <c r="G37" s="6" t="n"/>
      <c r="H37" s="7">
        <f>IF(AND(F37="",G37=""),"", "Risk of """ &amp; F37 &amp; """ because of """ &amp; SUBSTITUTE(G37, ", ", """ and """) &amp; """")</f>
        <v/>
      </c>
      <c r="I37" s="5" t="n"/>
      <c r="J37" s="5" t="n"/>
      <c r="K37" s="5" t="n"/>
      <c r="L37" s="8">
        <f>IF(E37="Confidential", 4, IF(E37="Sensitive", 3, IF(E37="Private", 2, IF(E37="Public", 1, ""))))</f>
        <v/>
      </c>
      <c r="M37" s="5" t="n"/>
      <c r="N37" s="8">
        <f>IF(OR(L37="",M37=""), "", L37*M37)</f>
        <v/>
      </c>
      <c r="O37" s="8">
        <f>IF(N37="","", IF(N37&gt;6, "High", IF(N37&gt;=4, "Medium", "Low")))</f>
        <v/>
      </c>
      <c r="P37" s="6" t="n"/>
      <c r="Q37" s="5" t="n"/>
      <c r="R37" s="5" t="n"/>
      <c r="S37" s="5" t="n"/>
      <c r="T37" s="6" t="n"/>
      <c r="U37" s="6" t="n"/>
      <c r="V37" s="6" t="n"/>
      <c r="W37" s="6" t="n"/>
      <c r="X37" s="6" t="n"/>
      <c r="Y37" s="6" t="n"/>
    </row>
    <row r="38" ht="22" customHeight="1">
      <c r="A38" s="5" t="n"/>
      <c r="B38" s="6" t="n"/>
      <c r="C38" s="5" t="n"/>
      <c r="D38" s="5" t="n"/>
      <c r="E38" s="5" t="n"/>
      <c r="F38" s="6" t="n"/>
      <c r="G38" s="6" t="n"/>
      <c r="H38" s="7">
        <f>IF(AND(F38="",G38=""),"", "Risk of """ &amp; F38 &amp; """ because of """ &amp; SUBSTITUTE(G38, ", ", """ and """) &amp; """")</f>
        <v/>
      </c>
      <c r="I38" s="5" t="n"/>
      <c r="J38" s="5" t="n"/>
      <c r="K38" s="5" t="n"/>
      <c r="L38" s="8">
        <f>IF(E38="Confidential", 4, IF(E38="Sensitive", 3, IF(E38="Private", 2, IF(E38="Public", 1, ""))))</f>
        <v/>
      </c>
      <c r="M38" s="5" t="n"/>
      <c r="N38" s="8">
        <f>IF(OR(L38="",M38=""), "", L38*M38)</f>
        <v/>
      </c>
      <c r="O38" s="8">
        <f>IF(N38="","", IF(N38&gt;6, "High", IF(N38&gt;=4, "Medium", "Low")))</f>
        <v/>
      </c>
      <c r="P38" s="6" t="n"/>
      <c r="Q38" s="5" t="n"/>
      <c r="R38" s="5" t="n"/>
      <c r="S38" s="5" t="n"/>
      <c r="T38" s="6" t="n"/>
      <c r="U38" s="6" t="n"/>
      <c r="V38" s="6" t="n"/>
      <c r="W38" s="6" t="n"/>
      <c r="X38" s="6" t="n"/>
      <c r="Y38" s="6" t="n"/>
    </row>
    <row r="39" ht="22" customHeight="1">
      <c r="A39" s="5" t="n"/>
      <c r="B39" s="6" t="n"/>
      <c r="C39" s="5" t="n"/>
      <c r="D39" s="5" t="n"/>
      <c r="E39" s="5" t="n"/>
      <c r="F39" s="6" t="n"/>
      <c r="G39" s="6" t="n"/>
      <c r="H39" s="7">
        <f>IF(AND(F39="",G39=""),"", "Risk of """ &amp; F39 &amp; """ because of """ &amp; SUBSTITUTE(G39, ", ", """ and """) &amp; """")</f>
        <v/>
      </c>
      <c r="I39" s="5" t="n"/>
      <c r="J39" s="5" t="n"/>
      <c r="K39" s="5" t="n"/>
      <c r="L39" s="8">
        <f>IF(E39="Confidential", 4, IF(E39="Sensitive", 3, IF(E39="Private", 2, IF(E39="Public", 1, ""))))</f>
        <v/>
      </c>
      <c r="M39" s="5" t="n"/>
      <c r="N39" s="8">
        <f>IF(OR(L39="",M39=""), "", L39*M39)</f>
        <v/>
      </c>
      <c r="O39" s="8">
        <f>IF(N39="","", IF(N39&gt;6, "High", IF(N39&gt;=4, "Medium", "Low")))</f>
        <v/>
      </c>
      <c r="P39" s="6" t="n"/>
      <c r="Q39" s="5" t="n"/>
      <c r="R39" s="5" t="n"/>
      <c r="S39" s="5" t="n"/>
      <c r="T39" s="6" t="n"/>
      <c r="U39" s="6" t="n"/>
      <c r="V39" s="6" t="n"/>
      <c r="W39" s="6" t="n"/>
      <c r="X39" s="6" t="n"/>
      <c r="Y39" s="6" t="n"/>
    </row>
    <row r="40" ht="22" customHeight="1">
      <c r="A40" s="5" t="n"/>
      <c r="B40" s="6" t="n"/>
      <c r="C40" s="5" t="n"/>
      <c r="D40" s="5" t="n"/>
      <c r="E40" s="5" t="n"/>
      <c r="F40" s="6" t="n"/>
      <c r="G40" s="6" t="n"/>
      <c r="H40" s="7">
        <f>IF(AND(F40="",G40=""),"", "Risk of """ &amp; F40 &amp; """ because of """ &amp; SUBSTITUTE(G40, ", ", """ and """) &amp; """")</f>
        <v/>
      </c>
      <c r="I40" s="5" t="n"/>
      <c r="J40" s="5" t="n"/>
      <c r="K40" s="5" t="n"/>
      <c r="L40" s="8">
        <f>IF(E40="Confidential", 4, IF(E40="Sensitive", 3, IF(E40="Private", 2, IF(E40="Public", 1, ""))))</f>
        <v/>
      </c>
      <c r="M40" s="5" t="n"/>
      <c r="N40" s="8">
        <f>IF(OR(L40="",M40=""), "", L40*M40)</f>
        <v/>
      </c>
      <c r="O40" s="8">
        <f>IF(N40="","", IF(N40&gt;6, "High", IF(N40&gt;=4, "Medium", "Low")))</f>
        <v/>
      </c>
      <c r="P40" s="6" t="n"/>
      <c r="Q40" s="5" t="n"/>
      <c r="R40" s="5" t="n"/>
      <c r="S40" s="5" t="n"/>
      <c r="T40" s="6" t="n"/>
      <c r="U40" s="6" t="n"/>
      <c r="V40" s="6" t="n"/>
      <c r="W40" s="6" t="n"/>
      <c r="X40" s="6" t="n"/>
      <c r="Y40" s="6" t="n"/>
    </row>
    <row r="41" ht="22" customHeight="1">
      <c r="A41" s="5" t="n"/>
      <c r="B41" s="6" t="n"/>
      <c r="C41" s="5" t="n"/>
      <c r="D41" s="5" t="n"/>
      <c r="E41" s="5" t="n"/>
      <c r="F41" s="6" t="n"/>
      <c r="G41" s="6" t="n"/>
      <c r="H41" s="7">
        <f>IF(AND(F41="",G41=""),"", "Risk of """ &amp; F41 &amp; """ because of """ &amp; SUBSTITUTE(G41, ", ", """ and """) &amp; """")</f>
        <v/>
      </c>
      <c r="I41" s="5" t="n"/>
      <c r="J41" s="5" t="n"/>
      <c r="K41" s="5" t="n"/>
      <c r="L41" s="8">
        <f>IF(E41="Confidential", 4, IF(E41="Sensitive", 3, IF(E41="Private", 2, IF(E41="Public", 1, ""))))</f>
        <v/>
      </c>
      <c r="M41" s="5" t="n"/>
      <c r="N41" s="8">
        <f>IF(OR(L41="",M41=""), "", L41*M41)</f>
        <v/>
      </c>
      <c r="O41" s="8">
        <f>IF(N41="","", IF(N41&gt;6, "High", IF(N41&gt;=4, "Medium", "Low")))</f>
        <v/>
      </c>
      <c r="P41" s="6" t="n"/>
      <c r="Q41" s="5" t="n"/>
      <c r="R41" s="5" t="n"/>
      <c r="S41" s="5" t="n"/>
      <c r="T41" s="6" t="n"/>
      <c r="U41" s="6" t="n"/>
      <c r="V41" s="6" t="n"/>
      <c r="W41" s="6" t="n"/>
      <c r="X41" s="6" t="n"/>
      <c r="Y41" s="6" t="n"/>
    </row>
    <row r="42" ht="22" customHeight="1">
      <c r="A42" s="5" t="n"/>
      <c r="B42" s="6" t="n"/>
      <c r="C42" s="5" t="n"/>
      <c r="D42" s="5" t="n"/>
      <c r="E42" s="5" t="n"/>
      <c r="F42" s="6" t="n"/>
      <c r="G42" s="6" t="n"/>
      <c r="H42" s="7">
        <f>IF(AND(F42="",G42=""),"", "Risk of """ &amp; F42 &amp; """ because of """ &amp; SUBSTITUTE(G42, ", ", """ and """) &amp; """")</f>
        <v/>
      </c>
      <c r="I42" s="5" t="n"/>
      <c r="J42" s="5" t="n"/>
      <c r="K42" s="5" t="n"/>
      <c r="L42" s="8">
        <f>IF(E42="Confidential", 4, IF(E42="Sensitive", 3, IF(E42="Private", 2, IF(E42="Public", 1, ""))))</f>
        <v/>
      </c>
      <c r="M42" s="5" t="n"/>
      <c r="N42" s="8">
        <f>IF(OR(L42="",M42=""), "", L42*M42)</f>
        <v/>
      </c>
      <c r="O42" s="8">
        <f>IF(N42="","", IF(N42&gt;6, "High", IF(N42&gt;=4, "Medium", "Low")))</f>
        <v/>
      </c>
      <c r="P42" s="6" t="n"/>
      <c r="Q42" s="5" t="n"/>
      <c r="R42" s="5" t="n"/>
      <c r="S42" s="5" t="n"/>
      <c r="T42" s="6" t="n"/>
      <c r="U42" s="6" t="n"/>
      <c r="V42" s="6" t="n"/>
      <c r="W42" s="6" t="n"/>
      <c r="X42" s="6" t="n"/>
      <c r="Y42" s="6" t="n"/>
    </row>
    <row r="43" ht="22" customHeight="1">
      <c r="A43" s="5" t="n"/>
      <c r="B43" s="6" t="n"/>
      <c r="C43" s="5" t="n"/>
      <c r="D43" s="5" t="n"/>
      <c r="E43" s="5" t="n"/>
      <c r="F43" s="6" t="n"/>
      <c r="G43" s="6" t="n"/>
      <c r="H43" s="7">
        <f>IF(AND(F43="",G43=""),"", "Risk of """ &amp; F43 &amp; """ because of """ &amp; SUBSTITUTE(G43, ", ", """ and """) &amp; """")</f>
        <v/>
      </c>
      <c r="I43" s="5" t="n"/>
      <c r="J43" s="5" t="n"/>
      <c r="K43" s="5" t="n"/>
      <c r="L43" s="8">
        <f>IF(E43="Confidential", 4, IF(E43="Sensitive", 3, IF(E43="Private", 2, IF(E43="Public", 1, ""))))</f>
        <v/>
      </c>
      <c r="M43" s="5" t="n"/>
      <c r="N43" s="8">
        <f>IF(OR(L43="",M43=""), "", L43*M43)</f>
        <v/>
      </c>
      <c r="O43" s="8">
        <f>IF(N43="","", IF(N43&gt;6, "High", IF(N43&gt;=4, "Medium", "Low")))</f>
        <v/>
      </c>
      <c r="P43" s="6" t="n"/>
      <c r="Q43" s="5" t="n"/>
      <c r="R43" s="5" t="n"/>
      <c r="S43" s="5" t="n"/>
      <c r="T43" s="6" t="n"/>
      <c r="U43" s="6" t="n"/>
      <c r="V43" s="6" t="n"/>
      <c r="W43" s="6" t="n"/>
      <c r="X43" s="6" t="n"/>
      <c r="Y43" s="6" t="n"/>
    </row>
    <row r="44" ht="22" customHeight="1">
      <c r="A44" s="5" t="n"/>
      <c r="B44" s="6" t="n"/>
      <c r="C44" s="5" t="n"/>
      <c r="D44" s="5" t="n"/>
      <c r="E44" s="5" t="n"/>
      <c r="F44" s="6" t="n"/>
      <c r="G44" s="6" t="n"/>
      <c r="H44" s="7">
        <f>IF(AND(F44="",G44=""),"", "Risk of """ &amp; F44 &amp; """ because of """ &amp; SUBSTITUTE(G44, ", ", """ and """) &amp; """")</f>
        <v/>
      </c>
      <c r="I44" s="5" t="n"/>
      <c r="J44" s="5" t="n"/>
      <c r="K44" s="5" t="n"/>
      <c r="L44" s="8">
        <f>IF(E44="Confidential", 4, IF(E44="Sensitive", 3, IF(E44="Private", 2, IF(E44="Public", 1, ""))))</f>
        <v/>
      </c>
      <c r="M44" s="5" t="n"/>
      <c r="N44" s="8">
        <f>IF(OR(L44="",M44=""), "", L44*M44)</f>
        <v/>
      </c>
      <c r="O44" s="8">
        <f>IF(N44="","", IF(N44&gt;6, "High", IF(N44&gt;=4, "Medium", "Low")))</f>
        <v/>
      </c>
      <c r="P44" s="6" t="n"/>
      <c r="Q44" s="5" t="n"/>
      <c r="R44" s="5" t="n"/>
      <c r="S44" s="5" t="n"/>
      <c r="T44" s="6" t="n"/>
      <c r="U44" s="6" t="n"/>
      <c r="V44" s="6" t="n"/>
      <c r="W44" s="6" t="n"/>
      <c r="X44" s="6" t="n"/>
      <c r="Y44" s="6" t="n"/>
    </row>
    <row r="45" ht="22" customHeight="1">
      <c r="A45" s="5" t="n"/>
      <c r="B45" s="6" t="n"/>
      <c r="C45" s="5" t="n"/>
      <c r="D45" s="5" t="n"/>
      <c r="E45" s="5" t="n"/>
      <c r="F45" s="6" t="n"/>
      <c r="G45" s="6" t="n"/>
      <c r="H45" s="7">
        <f>IF(AND(F45="",G45=""),"", "Risk of """ &amp; F45 &amp; """ because of """ &amp; SUBSTITUTE(G45, ", ", """ and """) &amp; """")</f>
        <v/>
      </c>
      <c r="I45" s="5" t="n"/>
      <c r="J45" s="5" t="n"/>
      <c r="K45" s="5" t="n"/>
      <c r="L45" s="8">
        <f>IF(E45="Confidential", 4, IF(E45="Sensitive", 3, IF(E45="Private", 2, IF(E45="Public", 1, ""))))</f>
        <v/>
      </c>
      <c r="M45" s="5" t="n"/>
      <c r="N45" s="8">
        <f>IF(OR(L45="",M45=""), "", L45*M45)</f>
        <v/>
      </c>
      <c r="O45" s="8">
        <f>IF(N45="","", IF(N45&gt;6, "High", IF(N45&gt;=4, "Medium", "Low")))</f>
        <v/>
      </c>
      <c r="P45" s="6" t="n"/>
      <c r="Q45" s="5" t="n"/>
      <c r="R45" s="5" t="n"/>
      <c r="S45" s="5" t="n"/>
      <c r="T45" s="6" t="n"/>
      <c r="U45" s="6" t="n"/>
      <c r="V45" s="6" t="n"/>
      <c r="W45" s="6" t="n"/>
      <c r="X45" s="6" t="n"/>
      <c r="Y45" s="6" t="n"/>
    </row>
    <row r="46" ht="22" customHeight="1">
      <c r="A46" s="5" t="n"/>
      <c r="B46" s="6" t="n"/>
      <c r="C46" s="5" t="n"/>
      <c r="D46" s="5" t="n"/>
      <c r="E46" s="5" t="n"/>
      <c r="F46" s="6" t="n"/>
      <c r="G46" s="6" t="n"/>
      <c r="H46" s="7">
        <f>IF(AND(F46="",G46=""),"", "Risk of """ &amp; F46 &amp; """ because of """ &amp; SUBSTITUTE(G46, ", ", """ and """) &amp; """")</f>
        <v/>
      </c>
      <c r="I46" s="5" t="n"/>
      <c r="J46" s="5" t="n"/>
      <c r="K46" s="5" t="n"/>
      <c r="L46" s="8">
        <f>IF(E46="Confidential", 4, IF(E46="Sensitive", 3, IF(E46="Private", 2, IF(E46="Public", 1, ""))))</f>
        <v/>
      </c>
      <c r="M46" s="5" t="n"/>
      <c r="N46" s="8">
        <f>IF(OR(L46="",M46=""), "", L46*M46)</f>
        <v/>
      </c>
      <c r="O46" s="8">
        <f>IF(N46="","", IF(N46&gt;6, "High", IF(N46&gt;=4, "Medium", "Low")))</f>
        <v/>
      </c>
      <c r="P46" s="6" t="n"/>
      <c r="Q46" s="5" t="n"/>
      <c r="R46" s="5" t="n"/>
      <c r="S46" s="5" t="n"/>
      <c r="T46" s="6" t="n"/>
      <c r="U46" s="6" t="n"/>
      <c r="V46" s="6" t="n"/>
      <c r="W46" s="6" t="n"/>
      <c r="X46" s="6" t="n"/>
      <c r="Y46" s="6" t="n"/>
    </row>
    <row r="47" ht="22" customHeight="1">
      <c r="A47" s="5" t="n"/>
      <c r="B47" s="6" t="n"/>
      <c r="C47" s="5" t="n"/>
      <c r="D47" s="5" t="n"/>
      <c r="E47" s="5" t="n"/>
      <c r="F47" s="6" t="n"/>
      <c r="G47" s="6" t="n"/>
      <c r="H47" s="7">
        <f>IF(AND(F47="",G47=""),"", "Risk of """ &amp; F47 &amp; """ because of """ &amp; SUBSTITUTE(G47, ", ", """ and """) &amp; """")</f>
        <v/>
      </c>
      <c r="I47" s="5" t="n"/>
      <c r="J47" s="5" t="n"/>
      <c r="K47" s="5" t="n"/>
      <c r="L47" s="8">
        <f>IF(E47="Confidential", 4, IF(E47="Sensitive", 3, IF(E47="Private", 2, IF(E47="Public", 1, ""))))</f>
        <v/>
      </c>
      <c r="M47" s="5" t="n"/>
      <c r="N47" s="8">
        <f>IF(OR(L47="",M47=""), "", L47*M47)</f>
        <v/>
      </c>
      <c r="O47" s="8">
        <f>IF(N47="","", IF(N47&gt;6, "High", IF(N47&gt;=4, "Medium", "Low")))</f>
        <v/>
      </c>
      <c r="P47" s="6" t="n"/>
      <c r="Q47" s="5" t="n"/>
      <c r="R47" s="5" t="n"/>
      <c r="S47" s="5" t="n"/>
      <c r="T47" s="6" t="n"/>
      <c r="U47" s="6" t="n"/>
      <c r="V47" s="6" t="n"/>
      <c r="W47" s="6" t="n"/>
      <c r="X47" s="6" t="n"/>
      <c r="Y47" s="6" t="n"/>
    </row>
    <row r="48" ht="22" customHeight="1">
      <c r="A48" s="5" t="n"/>
      <c r="B48" s="6" t="n"/>
      <c r="C48" s="5" t="n"/>
      <c r="D48" s="5" t="n"/>
      <c r="E48" s="5" t="n"/>
      <c r="F48" s="6" t="n"/>
      <c r="G48" s="6" t="n"/>
      <c r="H48" s="7">
        <f>IF(AND(F48="",G48=""),"", "Risk of """ &amp; F48 &amp; """ because of """ &amp; SUBSTITUTE(G48, ", ", """ and """) &amp; """")</f>
        <v/>
      </c>
      <c r="I48" s="5" t="n"/>
      <c r="J48" s="5" t="n"/>
      <c r="K48" s="5" t="n"/>
      <c r="L48" s="8">
        <f>IF(E48="Confidential", 4, IF(E48="Sensitive", 3, IF(E48="Private", 2, IF(E48="Public", 1, ""))))</f>
        <v/>
      </c>
      <c r="M48" s="5" t="n"/>
      <c r="N48" s="8">
        <f>IF(OR(L48="",M48=""), "", L48*M48)</f>
        <v/>
      </c>
      <c r="O48" s="8">
        <f>IF(N48="","", IF(N48&gt;6, "High", IF(N48&gt;=4, "Medium", "Low")))</f>
        <v/>
      </c>
      <c r="P48" s="6" t="n"/>
      <c r="Q48" s="5" t="n"/>
      <c r="R48" s="5" t="n"/>
      <c r="S48" s="5" t="n"/>
      <c r="T48" s="6" t="n"/>
      <c r="U48" s="6" t="n"/>
      <c r="V48" s="6" t="n"/>
      <c r="W48" s="6" t="n"/>
      <c r="X48" s="6" t="n"/>
      <c r="Y48" s="6" t="n"/>
    </row>
    <row r="49" ht="22" customHeight="1">
      <c r="A49" s="5" t="n"/>
      <c r="B49" s="6" t="n"/>
      <c r="C49" s="5" t="n"/>
      <c r="D49" s="5" t="n"/>
      <c r="E49" s="5" t="n"/>
      <c r="F49" s="6" t="n"/>
      <c r="G49" s="6" t="n"/>
      <c r="H49" s="7">
        <f>IF(AND(F49="",G49=""),"", "Risk of """ &amp; F49 &amp; """ because of """ &amp; SUBSTITUTE(G49, ", ", """ and """) &amp; """")</f>
        <v/>
      </c>
      <c r="I49" s="5" t="n"/>
      <c r="J49" s="5" t="n"/>
      <c r="K49" s="5" t="n"/>
      <c r="L49" s="8">
        <f>IF(E49="Confidential", 4, IF(E49="Sensitive", 3, IF(E49="Private", 2, IF(E49="Public", 1, ""))))</f>
        <v/>
      </c>
      <c r="M49" s="5" t="n"/>
      <c r="N49" s="8">
        <f>IF(OR(L49="",M49=""), "", L49*M49)</f>
        <v/>
      </c>
      <c r="O49" s="8">
        <f>IF(N49="","", IF(N49&gt;6, "High", IF(N49&gt;=4, "Medium", "Low")))</f>
        <v/>
      </c>
      <c r="P49" s="6" t="n"/>
      <c r="Q49" s="5" t="n"/>
      <c r="R49" s="5" t="n"/>
      <c r="S49" s="5" t="n"/>
      <c r="T49" s="6" t="n"/>
      <c r="U49" s="6" t="n"/>
      <c r="V49" s="6" t="n"/>
      <c r="W49" s="6" t="n"/>
      <c r="X49" s="6" t="n"/>
      <c r="Y49" s="6" t="n"/>
    </row>
    <row r="50" ht="22" customHeight="1">
      <c r="A50" s="5" t="n"/>
      <c r="B50" s="6" t="n"/>
      <c r="C50" s="5" t="n"/>
      <c r="D50" s="5" t="n"/>
      <c r="E50" s="5" t="n"/>
      <c r="F50" s="6" t="n"/>
      <c r="G50" s="6" t="n"/>
      <c r="H50" s="7">
        <f>IF(AND(F50="",G50=""),"", "Risk of """ &amp; F50 &amp; """ because of """ &amp; SUBSTITUTE(G50, ", ", """ and """) &amp; """")</f>
        <v/>
      </c>
      <c r="I50" s="5" t="n"/>
      <c r="J50" s="5" t="n"/>
      <c r="K50" s="5" t="n"/>
      <c r="L50" s="8">
        <f>IF(E50="Confidential", 4, IF(E50="Sensitive", 3, IF(E50="Private", 2, IF(E50="Public", 1, ""))))</f>
        <v/>
      </c>
      <c r="M50" s="5" t="n"/>
      <c r="N50" s="8">
        <f>IF(OR(L50="",M50=""), "", L50*M50)</f>
        <v/>
      </c>
      <c r="O50" s="8">
        <f>IF(N50="","", IF(N50&gt;6, "High", IF(N50&gt;=4, "Medium", "Low")))</f>
        <v/>
      </c>
      <c r="P50" s="6" t="n"/>
      <c r="Q50" s="5" t="n"/>
      <c r="R50" s="5" t="n"/>
      <c r="S50" s="5" t="n"/>
      <c r="T50" s="6" t="n"/>
      <c r="U50" s="6" t="n"/>
      <c r="V50" s="6" t="n"/>
      <c r="W50" s="6" t="n"/>
      <c r="X50" s="6" t="n"/>
      <c r="Y50" s="6" t="n"/>
    </row>
    <row r="51" ht="22" customHeight="1">
      <c r="A51" s="5" t="n"/>
      <c r="B51" s="6" t="n"/>
      <c r="C51" s="5" t="n"/>
      <c r="D51" s="5" t="n"/>
      <c r="E51" s="5" t="n"/>
      <c r="F51" s="6" t="n"/>
      <c r="G51" s="6" t="n"/>
      <c r="H51" s="7">
        <f>IF(AND(F51="",G51=""),"", "Risk of """ &amp; F51 &amp; """ because of """ &amp; SUBSTITUTE(G51, ", ", """ and """) &amp; """")</f>
        <v/>
      </c>
      <c r="I51" s="5" t="n"/>
      <c r="J51" s="5" t="n"/>
      <c r="K51" s="5" t="n"/>
      <c r="L51" s="8">
        <f>IF(E51="Confidential", 4, IF(E51="Sensitive", 3, IF(E51="Private", 2, IF(E51="Public", 1, ""))))</f>
        <v/>
      </c>
      <c r="M51" s="5" t="n"/>
      <c r="N51" s="8">
        <f>IF(OR(L51="",M51=""), "", L51*M51)</f>
        <v/>
      </c>
      <c r="O51" s="8">
        <f>IF(N51="","", IF(N51&gt;6, "High", IF(N51&gt;=4, "Medium", "Low")))</f>
        <v/>
      </c>
      <c r="P51" s="6" t="n"/>
      <c r="Q51" s="5" t="n"/>
      <c r="R51" s="5" t="n"/>
      <c r="S51" s="5" t="n"/>
      <c r="T51" s="6" t="n"/>
      <c r="U51" s="6" t="n"/>
      <c r="V51" s="6" t="n"/>
      <c r="W51" s="6" t="n"/>
      <c r="X51" s="6" t="n"/>
      <c r="Y51" s="6" t="n"/>
    </row>
    <row r="52" ht="22" customHeight="1">
      <c r="A52" s="5" t="n"/>
      <c r="B52" s="6" t="n"/>
      <c r="C52" s="5" t="n"/>
      <c r="D52" s="5" t="n"/>
      <c r="E52" s="5" t="n"/>
      <c r="F52" s="6" t="n"/>
      <c r="G52" s="6" t="n"/>
      <c r="H52" s="7">
        <f>IF(AND(F52="",G52=""),"", "Risk of """ &amp; F52 &amp; """ because of """ &amp; SUBSTITUTE(G52, ", ", """ and """) &amp; """")</f>
        <v/>
      </c>
      <c r="I52" s="5" t="n"/>
      <c r="J52" s="5" t="n"/>
      <c r="K52" s="5" t="n"/>
      <c r="L52" s="8">
        <f>IF(E52="Confidential", 4, IF(E52="Sensitive", 3, IF(E52="Private", 2, IF(E52="Public", 1, ""))))</f>
        <v/>
      </c>
      <c r="M52" s="5" t="n"/>
      <c r="N52" s="8">
        <f>IF(OR(L52="",M52=""), "", L52*M52)</f>
        <v/>
      </c>
      <c r="O52" s="8">
        <f>IF(N52="","", IF(N52&gt;6, "High", IF(N52&gt;=4, "Medium", "Low")))</f>
        <v/>
      </c>
      <c r="P52" s="6" t="n"/>
      <c r="Q52" s="5" t="n"/>
      <c r="R52" s="5" t="n"/>
      <c r="S52" s="5" t="n"/>
      <c r="T52" s="6" t="n"/>
      <c r="U52" s="6" t="n"/>
      <c r="V52" s="6" t="n"/>
      <c r="W52" s="6" t="n"/>
      <c r="X52" s="6" t="n"/>
      <c r="Y52" s="6" t="n"/>
    </row>
    <row r="53" ht="22" customHeight="1">
      <c r="A53" s="5" t="n"/>
      <c r="B53" s="6" t="n"/>
      <c r="C53" s="5" t="n"/>
      <c r="D53" s="5" t="n"/>
      <c r="E53" s="5" t="n"/>
      <c r="F53" s="6" t="n"/>
      <c r="G53" s="6" t="n"/>
      <c r="H53" s="7">
        <f>IF(AND(F53="",G53=""),"", "Risk of """ &amp; F53 &amp; """ because of """ &amp; SUBSTITUTE(G53, ", ", """ and """) &amp; """")</f>
        <v/>
      </c>
      <c r="I53" s="5" t="n"/>
      <c r="J53" s="5" t="n"/>
      <c r="K53" s="5" t="n"/>
      <c r="L53" s="8">
        <f>IF(E53="Confidential", 4, IF(E53="Sensitive", 3, IF(E53="Private", 2, IF(E53="Public", 1, ""))))</f>
        <v/>
      </c>
      <c r="M53" s="5" t="n"/>
      <c r="N53" s="8">
        <f>IF(OR(L53="",M53=""), "", L53*M53)</f>
        <v/>
      </c>
      <c r="O53" s="8">
        <f>IF(N53="","", IF(N53&gt;6, "High", IF(N53&gt;=4, "Medium", "Low")))</f>
        <v/>
      </c>
      <c r="P53" s="6" t="n"/>
      <c r="Q53" s="5" t="n"/>
      <c r="R53" s="5" t="n"/>
      <c r="S53" s="5" t="n"/>
      <c r="T53" s="6" t="n"/>
      <c r="U53" s="6" t="n"/>
      <c r="V53" s="6" t="n"/>
      <c r="W53" s="6" t="n"/>
      <c r="X53" s="6" t="n"/>
      <c r="Y53" s="6" t="n"/>
    </row>
    <row r="54" ht="22" customHeight="1">
      <c r="A54" s="5" t="n"/>
      <c r="B54" s="6" t="n"/>
      <c r="C54" s="5" t="n"/>
      <c r="D54" s="5" t="n"/>
      <c r="E54" s="5" t="n"/>
      <c r="F54" s="6" t="n"/>
      <c r="G54" s="6" t="n"/>
      <c r="H54" s="7">
        <f>IF(AND(F54="",G54=""),"", "Risk of """ &amp; F54 &amp; """ because of """ &amp; SUBSTITUTE(G54, ", ", """ and """) &amp; """")</f>
        <v/>
      </c>
      <c r="I54" s="5" t="n"/>
      <c r="J54" s="5" t="n"/>
      <c r="K54" s="5" t="n"/>
      <c r="L54" s="8">
        <f>IF(E54="Confidential", 4, IF(E54="Sensitive", 3, IF(E54="Private", 2, IF(E54="Public", 1, ""))))</f>
        <v/>
      </c>
      <c r="M54" s="5" t="n"/>
      <c r="N54" s="8">
        <f>IF(OR(L54="",M54=""), "", L54*M54)</f>
        <v/>
      </c>
      <c r="O54" s="8">
        <f>IF(N54="","", IF(N54&gt;6, "High", IF(N54&gt;=4, "Medium", "Low")))</f>
        <v/>
      </c>
      <c r="P54" s="6" t="n"/>
      <c r="Q54" s="5" t="n"/>
      <c r="R54" s="5" t="n"/>
      <c r="S54" s="5" t="n"/>
      <c r="T54" s="6" t="n"/>
      <c r="U54" s="6" t="n"/>
      <c r="V54" s="6" t="n"/>
      <c r="W54" s="6" t="n"/>
      <c r="X54" s="6" t="n"/>
      <c r="Y54" s="6" t="n"/>
    </row>
    <row r="55" ht="22" customHeight="1">
      <c r="A55" s="5" t="n"/>
      <c r="B55" s="6" t="n"/>
      <c r="C55" s="5" t="n"/>
      <c r="D55" s="5" t="n"/>
      <c r="E55" s="5" t="n"/>
      <c r="F55" s="6" t="n"/>
      <c r="G55" s="6" t="n"/>
      <c r="H55" s="7">
        <f>IF(AND(F55="",G55=""),"", "Risk of """ &amp; F55 &amp; """ because of """ &amp; SUBSTITUTE(G55, ", ", """ and """) &amp; """")</f>
        <v/>
      </c>
      <c r="I55" s="5" t="n"/>
      <c r="J55" s="5" t="n"/>
      <c r="K55" s="5" t="n"/>
      <c r="L55" s="8">
        <f>IF(E55="Confidential", 4, IF(E55="Sensitive", 3, IF(E55="Private", 2, IF(E55="Public", 1, ""))))</f>
        <v/>
      </c>
      <c r="M55" s="5" t="n"/>
      <c r="N55" s="8">
        <f>IF(OR(L55="",M55=""), "", L55*M55)</f>
        <v/>
      </c>
      <c r="O55" s="8">
        <f>IF(N55="","", IF(N55&gt;6, "High", IF(N55&gt;=4, "Medium", "Low")))</f>
        <v/>
      </c>
      <c r="P55" s="6" t="n"/>
      <c r="Q55" s="5" t="n"/>
      <c r="R55" s="5" t="n"/>
      <c r="S55" s="5" t="n"/>
      <c r="T55" s="6" t="n"/>
      <c r="U55" s="6" t="n"/>
      <c r="V55" s="6" t="n"/>
      <c r="W55" s="6" t="n"/>
      <c r="X55" s="6" t="n"/>
      <c r="Y55" s="6" t="n"/>
    </row>
    <row r="56" ht="22" customHeight="1">
      <c r="A56" s="5" t="n"/>
      <c r="B56" s="6" t="n"/>
      <c r="C56" s="5" t="n"/>
      <c r="D56" s="5" t="n"/>
      <c r="E56" s="5" t="n"/>
      <c r="F56" s="6" t="n"/>
      <c r="G56" s="6" t="n"/>
      <c r="H56" s="7">
        <f>IF(AND(F56="",G56=""),"", "Risk of """ &amp; F56 &amp; """ because of """ &amp; SUBSTITUTE(G56, ", ", """ and """) &amp; """")</f>
        <v/>
      </c>
      <c r="I56" s="5" t="n"/>
      <c r="J56" s="5" t="n"/>
      <c r="K56" s="5" t="n"/>
      <c r="L56" s="8">
        <f>IF(E56="Confidential", 4, IF(E56="Sensitive", 3, IF(E56="Private", 2, IF(E56="Public", 1, ""))))</f>
        <v/>
      </c>
      <c r="M56" s="5" t="n"/>
      <c r="N56" s="8">
        <f>IF(OR(L56="",M56=""), "", L56*M56)</f>
        <v/>
      </c>
      <c r="O56" s="8">
        <f>IF(N56="","", IF(N56&gt;6, "High", IF(N56&gt;=4, "Medium", "Low")))</f>
        <v/>
      </c>
      <c r="P56" s="6" t="n"/>
      <c r="Q56" s="5" t="n"/>
      <c r="R56" s="5" t="n"/>
      <c r="S56" s="5" t="n"/>
      <c r="T56" s="6" t="n"/>
      <c r="U56" s="6" t="n"/>
      <c r="V56" s="6" t="n"/>
      <c r="W56" s="6" t="n"/>
      <c r="X56" s="6" t="n"/>
      <c r="Y56" s="6" t="n"/>
    </row>
    <row r="57" ht="22" customHeight="1">
      <c r="A57" s="5" t="n"/>
      <c r="B57" s="6" t="n"/>
      <c r="C57" s="5" t="n"/>
      <c r="D57" s="5" t="n"/>
      <c r="E57" s="5" t="n"/>
      <c r="F57" s="6" t="n"/>
      <c r="G57" s="6" t="n"/>
      <c r="H57" s="7">
        <f>IF(AND(F57="",G57=""),"", "Risk of """ &amp; F57 &amp; """ because of """ &amp; SUBSTITUTE(G57, ", ", """ and """) &amp; """")</f>
        <v/>
      </c>
      <c r="I57" s="5" t="n"/>
      <c r="J57" s="5" t="n"/>
      <c r="K57" s="5" t="n"/>
      <c r="L57" s="8">
        <f>IF(E57="Confidential", 4, IF(E57="Sensitive", 3, IF(E57="Private", 2, IF(E57="Public", 1, ""))))</f>
        <v/>
      </c>
      <c r="M57" s="5" t="n"/>
      <c r="N57" s="8">
        <f>IF(OR(L57="",M57=""), "", L57*M57)</f>
        <v/>
      </c>
      <c r="O57" s="8">
        <f>IF(N57="","", IF(N57&gt;6, "High", IF(N57&gt;=4, "Medium", "Low")))</f>
        <v/>
      </c>
      <c r="P57" s="6" t="n"/>
      <c r="Q57" s="5" t="n"/>
      <c r="R57" s="5" t="n"/>
      <c r="S57" s="5" t="n"/>
      <c r="T57" s="6" t="n"/>
      <c r="U57" s="6" t="n"/>
      <c r="V57" s="6" t="n"/>
      <c r="W57" s="6" t="n"/>
      <c r="X57" s="6" t="n"/>
      <c r="Y57" s="6" t="n"/>
    </row>
    <row r="58" ht="22" customHeight="1">
      <c r="A58" s="5" t="n"/>
      <c r="B58" s="6" t="n"/>
      <c r="C58" s="5" t="n"/>
      <c r="D58" s="5" t="n"/>
      <c r="E58" s="5" t="n"/>
      <c r="F58" s="6" t="n"/>
      <c r="G58" s="6" t="n"/>
      <c r="H58" s="7">
        <f>IF(AND(F58="",G58=""),"", "Risk of """ &amp; F58 &amp; """ because of """ &amp; SUBSTITUTE(G58, ", ", """ and """) &amp; """")</f>
        <v/>
      </c>
      <c r="I58" s="5" t="n"/>
      <c r="J58" s="5" t="n"/>
      <c r="K58" s="5" t="n"/>
      <c r="L58" s="8">
        <f>IF(E58="Confidential", 4, IF(E58="Sensitive", 3, IF(E58="Private", 2, IF(E58="Public", 1, ""))))</f>
        <v/>
      </c>
      <c r="M58" s="5" t="n"/>
      <c r="N58" s="8">
        <f>IF(OR(L58="",M58=""), "", L58*M58)</f>
        <v/>
      </c>
      <c r="O58" s="8">
        <f>IF(N58="","", IF(N58&gt;6, "High", IF(N58&gt;=4, "Medium", "Low")))</f>
        <v/>
      </c>
      <c r="P58" s="6" t="n"/>
      <c r="Q58" s="5" t="n"/>
      <c r="R58" s="5" t="n"/>
      <c r="S58" s="5" t="n"/>
      <c r="T58" s="6" t="n"/>
      <c r="U58" s="6" t="n"/>
      <c r="V58" s="6" t="n"/>
      <c r="W58" s="6" t="n"/>
      <c r="X58" s="6" t="n"/>
      <c r="Y58" s="6" t="n"/>
    </row>
    <row r="59" ht="22" customHeight="1">
      <c r="A59" s="5" t="n"/>
      <c r="B59" s="6" t="n"/>
      <c r="C59" s="5" t="n"/>
      <c r="D59" s="5" t="n"/>
      <c r="E59" s="5" t="n"/>
      <c r="F59" s="6" t="n"/>
      <c r="G59" s="6" t="n"/>
      <c r="H59" s="7">
        <f>IF(AND(F59="",G59=""),"", "Risk of """ &amp; F59 &amp; """ because of """ &amp; SUBSTITUTE(G59, ", ", """ and """) &amp; """")</f>
        <v/>
      </c>
      <c r="I59" s="5" t="n"/>
      <c r="J59" s="5" t="n"/>
      <c r="K59" s="5" t="n"/>
      <c r="L59" s="8">
        <f>IF(E59="Confidential", 4, IF(E59="Sensitive", 3, IF(E59="Private", 2, IF(E59="Public", 1, ""))))</f>
        <v/>
      </c>
      <c r="M59" s="5" t="n"/>
      <c r="N59" s="8">
        <f>IF(OR(L59="",M59=""), "", L59*M59)</f>
        <v/>
      </c>
      <c r="O59" s="8">
        <f>IF(N59="","", IF(N59&gt;6, "High", IF(N59&gt;=4, "Medium", "Low")))</f>
        <v/>
      </c>
      <c r="P59" s="6" t="n"/>
      <c r="Q59" s="5" t="n"/>
      <c r="R59" s="5" t="n"/>
      <c r="S59" s="5" t="n"/>
      <c r="T59" s="6" t="n"/>
      <c r="U59" s="6" t="n"/>
      <c r="V59" s="6" t="n"/>
      <c r="W59" s="6" t="n"/>
      <c r="X59" s="6" t="n"/>
      <c r="Y59" s="6" t="n"/>
    </row>
    <row r="60" ht="22" customHeight="1">
      <c r="A60" s="5" t="n"/>
      <c r="B60" s="6" t="n"/>
      <c r="C60" s="5" t="n"/>
      <c r="D60" s="5" t="n"/>
      <c r="E60" s="5" t="n"/>
      <c r="F60" s="6" t="n"/>
      <c r="G60" s="6" t="n"/>
      <c r="H60" s="7">
        <f>IF(AND(F60="",G60=""),"", "Risk of """ &amp; F60 &amp; """ because of """ &amp; SUBSTITUTE(G60, ", ", """ and """) &amp; """")</f>
        <v/>
      </c>
      <c r="I60" s="5" t="n"/>
      <c r="J60" s="5" t="n"/>
      <c r="K60" s="5" t="n"/>
      <c r="L60" s="8">
        <f>IF(E60="Confidential", 4, IF(E60="Sensitive", 3, IF(E60="Private", 2, IF(E60="Public", 1, ""))))</f>
        <v/>
      </c>
      <c r="M60" s="5" t="n"/>
      <c r="N60" s="8">
        <f>IF(OR(L60="",M60=""), "", L60*M60)</f>
        <v/>
      </c>
      <c r="O60" s="8">
        <f>IF(N60="","", IF(N60&gt;6, "High", IF(N60&gt;=4, "Medium", "Low")))</f>
        <v/>
      </c>
      <c r="P60" s="6" t="n"/>
      <c r="Q60" s="5" t="n"/>
      <c r="R60" s="5" t="n"/>
      <c r="S60" s="5" t="n"/>
      <c r="T60" s="6" t="n"/>
      <c r="U60" s="6" t="n"/>
      <c r="V60" s="6" t="n"/>
      <c r="W60" s="6" t="n"/>
      <c r="X60" s="6" t="n"/>
      <c r="Y60" s="6" t="n"/>
    </row>
    <row r="61" ht="22" customHeight="1">
      <c r="A61" s="5" t="n"/>
      <c r="B61" s="6" t="n"/>
      <c r="C61" s="5" t="n"/>
      <c r="D61" s="5" t="n"/>
      <c r="E61" s="5" t="n"/>
      <c r="F61" s="6" t="n"/>
      <c r="G61" s="6" t="n"/>
      <c r="H61" s="7">
        <f>IF(AND(F61="",G61=""),"", "Risk of """ &amp; F61 &amp; """ because of """ &amp; SUBSTITUTE(G61, ", ", """ and """) &amp; """")</f>
        <v/>
      </c>
      <c r="I61" s="5" t="n"/>
      <c r="J61" s="5" t="n"/>
      <c r="K61" s="5" t="n"/>
      <c r="L61" s="8">
        <f>IF(E61="Confidential", 4, IF(E61="Sensitive", 3, IF(E61="Private", 2, IF(E61="Public", 1, ""))))</f>
        <v/>
      </c>
      <c r="M61" s="5" t="n"/>
      <c r="N61" s="8">
        <f>IF(OR(L61="",M61=""), "", L61*M61)</f>
        <v/>
      </c>
      <c r="O61" s="8">
        <f>IF(N61="","", IF(N61&gt;6, "High", IF(N61&gt;=4, "Medium", "Low")))</f>
        <v/>
      </c>
      <c r="P61" s="6" t="n"/>
      <c r="Q61" s="5" t="n"/>
      <c r="R61" s="5" t="n"/>
      <c r="S61" s="5" t="n"/>
      <c r="T61" s="6" t="n"/>
      <c r="U61" s="6" t="n"/>
      <c r="V61" s="6" t="n"/>
      <c r="W61" s="6" t="n"/>
      <c r="X61" s="6" t="n"/>
      <c r="Y61" s="6" t="n"/>
    </row>
    <row r="62" ht="22" customHeight="1">
      <c r="A62" s="5" t="n"/>
      <c r="B62" s="6" t="n"/>
      <c r="C62" s="5" t="n"/>
      <c r="D62" s="5" t="n"/>
      <c r="E62" s="5" t="n"/>
      <c r="F62" s="6" t="n"/>
      <c r="G62" s="6" t="n"/>
      <c r="H62" s="7">
        <f>IF(AND(F62="",G62=""),"", "Risk of """ &amp; F62 &amp; """ because of """ &amp; SUBSTITUTE(G62, ", ", """ and """) &amp; """")</f>
        <v/>
      </c>
      <c r="I62" s="5" t="n"/>
      <c r="J62" s="5" t="n"/>
      <c r="K62" s="5" t="n"/>
      <c r="L62" s="8">
        <f>IF(E62="Confidential", 4, IF(E62="Sensitive", 3, IF(E62="Private", 2, IF(E62="Public", 1, ""))))</f>
        <v/>
      </c>
      <c r="M62" s="5" t="n"/>
      <c r="N62" s="8">
        <f>IF(OR(L62="",M62=""), "", L62*M62)</f>
        <v/>
      </c>
      <c r="O62" s="8">
        <f>IF(N62="","", IF(N62&gt;6, "High", IF(N62&gt;=4, "Medium", "Low")))</f>
        <v/>
      </c>
      <c r="P62" s="6" t="n"/>
      <c r="Q62" s="5" t="n"/>
      <c r="R62" s="5" t="n"/>
      <c r="S62" s="5" t="n"/>
      <c r="T62" s="6" t="n"/>
      <c r="U62" s="6" t="n"/>
      <c r="V62" s="6" t="n"/>
      <c r="W62" s="6" t="n"/>
      <c r="X62" s="6" t="n"/>
      <c r="Y62" s="6" t="n"/>
    </row>
    <row r="63" ht="22" customHeight="1">
      <c r="A63" s="5" t="n"/>
      <c r="B63" s="6" t="n"/>
      <c r="C63" s="5" t="n"/>
      <c r="D63" s="5" t="n"/>
      <c r="E63" s="5" t="n"/>
      <c r="F63" s="6" t="n"/>
      <c r="G63" s="6" t="n"/>
      <c r="H63" s="7">
        <f>IF(AND(F63="",G63=""),"", "Risk of """ &amp; F63 &amp; """ because of """ &amp; SUBSTITUTE(G63, ", ", """ and """) &amp; """")</f>
        <v/>
      </c>
      <c r="I63" s="5" t="n"/>
      <c r="J63" s="5" t="n"/>
      <c r="K63" s="5" t="n"/>
      <c r="L63" s="8">
        <f>IF(E63="Confidential", 4, IF(E63="Sensitive", 3, IF(E63="Private", 2, IF(E63="Public", 1, ""))))</f>
        <v/>
      </c>
      <c r="M63" s="5" t="n"/>
      <c r="N63" s="8">
        <f>IF(OR(L63="",M63=""), "", L63*M63)</f>
        <v/>
      </c>
      <c r="O63" s="8">
        <f>IF(N63="","", IF(N63&gt;6, "High", IF(N63&gt;=4, "Medium", "Low")))</f>
        <v/>
      </c>
      <c r="P63" s="6" t="n"/>
      <c r="Q63" s="5" t="n"/>
      <c r="R63" s="5" t="n"/>
      <c r="S63" s="5" t="n"/>
      <c r="T63" s="6" t="n"/>
      <c r="U63" s="6" t="n"/>
      <c r="V63" s="6" t="n"/>
      <c r="W63" s="6" t="n"/>
      <c r="X63" s="6" t="n"/>
      <c r="Y63" s="6" t="n"/>
    </row>
    <row r="64" ht="22" customHeight="1">
      <c r="A64" s="5" t="n"/>
      <c r="B64" s="6" t="n"/>
      <c r="C64" s="5" t="n"/>
      <c r="D64" s="5" t="n"/>
      <c r="E64" s="5" t="n"/>
      <c r="F64" s="6" t="n"/>
      <c r="G64" s="6" t="n"/>
      <c r="H64" s="7">
        <f>IF(AND(F64="",G64=""),"", "Risk of """ &amp; F64 &amp; """ because of """ &amp; SUBSTITUTE(G64, ", ", """ and """) &amp; """")</f>
        <v/>
      </c>
      <c r="I64" s="5" t="n"/>
      <c r="J64" s="5" t="n"/>
      <c r="K64" s="5" t="n"/>
      <c r="L64" s="8">
        <f>IF(E64="Confidential", 4, IF(E64="Sensitive", 3, IF(E64="Private", 2, IF(E64="Public", 1, ""))))</f>
        <v/>
      </c>
      <c r="M64" s="5" t="n"/>
      <c r="N64" s="8">
        <f>IF(OR(L64="",M64=""), "", L64*M64)</f>
        <v/>
      </c>
      <c r="O64" s="8">
        <f>IF(N64="","", IF(N64&gt;6, "High", IF(N64&gt;=4, "Medium", "Low")))</f>
        <v/>
      </c>
      <c r="P64" s="6" t="n"/>
      <c r="Q64" s="5" t="n"/>
      <c r="R64" s="5" t="n"/>
      <c r="S64" s="5" t="n"/>
      <c r="T64" s="6" t="n"/>
      <c r="U64" s="6" t="n"/>
      <c r="V64" s="6" t="n"/>
      <c r="W64" s="6" t="n"/>
      <c r="X64" s="6" t="n"/>
      <c r="Y64" s="6" t="n"/>
    </row>
    <row r="65" ht="22" customHeight="1">
      <c r="A65" s="5" t="n"/>
      <c r="B65" s="6" t="n"/>
      <c r="C65" s="5" t="n"/>
      <c r="D65" s="5" t="n"/>
      <c r="E65" s="5" t="n"/>
      <c r="F65" s="6" t="n"/>
      <c r="G65" s="6" t="n"/>
      <c r="H65" s="7">
        <f>IF(AND(F65="",G65=""),"", "Risk of """ &amp; F65 &amp; """ because of """ &amp; SUBSTITUTE(G65, ", ", """ and """) &amp; """")</f>
        <v/>
      </c>
      <c r="I65" s="5" t="n"/>
      <c r="J65" s="5" t="n"/>
      <c r="K65" s="5" t="n"/>
      <c r="L65" s="8">
        <f>IF(E65="Confidential", 4, IF(E65="Sensitive", 3, IF(E65="Private", 2, IF(E65="Public", 1, ""))))</f>
        <v/>
      </c>
      <c r="M65" s="5" t="n"/>
      <c r="N65" s="8">
        <f>IF(OR(L65="",M65=""), "", L65*M65)</f>
        <v/>
      </c>
      <c r="O65" s="8">
        <f>IF(N65="","", IF(N65&gt;6, "High", IF(N65&gt;=4, "Medium", "Low")))</f>
        <v/>
      </c>
      <c r="P65" s="6" t="n"/>
      <c r="Q65" s="5" t="n"/>
      <c r="R65" s="5" t="n"/>
      <c r="S65" s="5" t="n"/>
      <c r="T65" s="6" t="n"/>
      <c r="U65" s="6" t="n"/>
      <c r="V65" s="6" t="n"/>
      <c r="W65" s="6" t="n"/>
      <c r="X65" s="6" t="n"/>
      <c r="Y65" s="6" t="n"/>
    </row>
    <row r="66" ht="22" customHeight="1">
      <c r="A66" s="5" t="n"/>
      <c r="B66" s="6" t="n"/>
      <c r="C66" s="5" t="n"/>
      <c r="D66" s="5" t="n"/>
      <c r="E66" s="5" t="n"/>
      <c r="F66" s="6" t="n"/>
      <c r="G66" s="6" t="n"/>
      <c r="H66" s="7">
        <f>IF(AND(F66="",G66=""),"", "Risk of """ &amp; F66 &amp; """ because of """ &amp; SUBSTITUTE(G66, ", ", """ and """) &amp; """")</f>
        <v/>
      </c>
      <c r="I66" s="5" t="n"/>
      <c r="J66" s="5" t="n"/>
      <c r="K66" s="5" t="n"/>
      <c r="L66" s="8">
        <f>IF(E66="Confidential", 4, IF(E66="Sensitive", 3, IF(E66="Private", 2, IF(E66="Public", 1, ""))))</f>
        <v/>
      </c>
      <c r="M66" s="5" t="n"/>
      <c r="N66" s="8">
        <f>IF(OR(L66="",M66=""), "", L66*M66)</f>
        <v/>
      </c>
      <c r="O66" s="8">
        <f>IF(N66="","", IF(N66&gt;6, "High", IF(N66&gt;=4, "Medium", "Low")))</f>
        <v/>
      </c>
      <c r="P66" s="6" t="n"/>
      <c r="Q66" s="5" t="n"/>
      <c r="R66" s="5" t="n"/>
      <c r="S66" s="5" t="n"/>
      <c r="T66" s="6" t="n"/>
      <c r="U66" s="6" t="n"/>
      <c r="V66" s="6" t="n"/>
      <c r="W66" s="6" t="n"/>
      <c r="X66" s="6" t="n"/>
      <c r="Y66" s="6" t="n"/>
    </row>
    <row r="67" ht="22" customHeight="1">
      <c r="A67" s="5" t="n"/>
      <c r="B67" s="6" t="n"/>
      <c r="C67" s="5" t="n"/>
      <c r="D67" s="5" t="n"/>
      <c r="E67" s="5" t="n"/>
      <c r="F67" s="6" t="n"/>
      <c r="G67" s="6" t="n"/>
      <c r="H67" s="7">
        <f>IF(AND(F67="",G67=""),"", "Risk of """ &amp; F67 &amp; """ because of """ &amp; SUBSTITUTE(G67, ", ", """ and """) &amp; """")</f>
        <v/>
      </c>
      <c r="I67" s="5" t="n"/>
      <c r="J67" s="5" t="n"/>
      <c r="K67" s="5" t="n"/>
      <c r="L67" s="8">
        <f>IF(E67="Confidential", 4, IF(E67="Sensitive", 3, IF(E67="Private", 2, IF(E67="Public", 1, ""))))</f>
        <v/>
      </c>
      <c r="M67" s="5" t="n"/>
      <c r="N67" s="8">
        <f>IF(OR(L67="",M67=""), "", L67*M67)</f>
        <v/>
      </c>
      <c r="O67" s="8">
        <f>IF(N67="","", IF(N67&gt;6, "High", IF(N67&gt;=4, "Medium", "Low")))</f>
        <v/>
      </c>
      <c r="P67" s="6" t="n"/>
      <c r="Q67" s="5" t="n"/>
      <c r="R67" s="5" t="n"/>
      <c r="S67" s="5" t="n"/>
      <c r="T67" s="6" t="n"/>
      <c r="U67" s="6" t="n"/>
      <c r="V67" s="6" t="n"/>
      <c r="W67" s="6" t="n"/>
      <c r="X67" s="6" t="n"/>
      <c r="Y67" s="6" t="n"/>
    </row>
    <row r="68" ht="22" customHeight="1">
      <c r="A68" s="5" t="n"/>
      <c r="B68" s="6" t="n"/>
      <c r="C68" s="5" t="n"/>
      <c r="D68" s="5" t="n"/>
      <c r="E68" s="5" t="n"/>
      <c r="F68" s="6" t="n"/>
      <c r="G68" s="6" t="n"/>
      <c r="H68" s="7">
        <f>IF(AND(F68="",G68=""),"", "Risk of """ &amp; F68 &amp; """ because of """ &amp; SUBSTITUTE(G68, ", ", """ and """) &amp; """")</f>
        <v/>
      </c>
      <c r="I68" s="5" t="n"/>
      <c r="J68" s="5" t="n"/>
      <c r="K68" s="5" t="n"/>
      <c r="L68" s="8">
        <f>IF(E68="Confidential", 4, IF(E68="Sensitive", 3, IF(E68="Private", 2, IF(E68="Public", 1, ""))))</f>
        <v/>
      </c>
      <c r="M68" s="5" t="n"/>
      <c r="N68" s="8">
        <f>IF(OR(L68="",M68=""), "", L68*M68)</f>
        <v/>
      </c>
      <c r="O68" s="8">
        <f>IF(N68="","", IF(N68&gt;6, "High", IF(N68&gt;=4, "Medium", "Low")))</f>
        <v/>
      </c>
      <c r="P68" s="6" t="n"/>
      <c r="Q68" s="5" t="n"/>
      <c r="R68" s="5" t="n"/>
      <c r="S68" s="5" t="n"/>
      <c r="T68" s="6" t="n"/>
      <c r="U68" s="6" t="n"/>
      <c r="V68" s="6" t="n"/>
      <c r="W68" s="6" t="n"/>
      <c r="X68" s="6" t="n"/>
      <c r="Y68" s="6" t="n"/>
    </row>
    <row r="69" ht="22" customHeight="1">
      <c r="A69" s="5" t="n"/>
      <c r="B69" s="6" t="n"/>
      <c r="C69" s="5" t="n"/>
      <c r="D69" s="5" t="n"/>
      <c r="E69" s="5" t="n"/>
      <c r="F69" s="6" t="n"/>
      <c r="G69" s="6" t="n"/>
      <c r="H69" s="7">
        <f>IF(AND(F69="",G69=""),"", "Risk of """ &amp; F69 &amp; """ because of """ &amp; SUBSTITUTE(G69, ", ", """ and """) &amp; """")</f>
        <v/>
      </c>
      <c r="I69" s="5" t="n"/>
      <c r="J69" s="5" t="n"/>
      <c r="K69" s="5" t="n"/>
      <c r="L69" s="8">
        <f>IF(E69="Confidential", 4, IF(E69="Sensitive", 3, IF(E69="Private", 2, IF(E69="Public", 1, ""))))</f>
        <v/>
      </c>
      <c r="M69" s="5" t="n"/>
      <c r="N69" s="8">
        <f>IF(OR(L69="",M69=""), "", L69*M69)</f>
        <v/>
      </c>
      <c r="O69" s="8">
        <f>IF(N69="","", IF(N69&gt;6, "High", IF(N69&gt;=4, "Medium", "Low")))</f>
        <v/>
      </c>
      <c r="P69" s="6" t="n"/>
      <c r="Q69" s="5" t="n"/>
      <c r="R69" s="5" t="n"/>
      <c r="S69" s="5" t="n"/>
      <c r="T69" s="6" t="n"/>
      <c r="U69" s="6" t="n"/>
      <c r="V69" s="6" t="n"/>
      <c r="W69" s="6" t="n"/>
      <c r="X69" s="6" t="n"/>
      <c r="Y69" s="6" t="n"/>
    </row>
    <row r="70" ht="22" customHeight="1">
      <c r="A70" s="5" t="n"/>
      <c r="B70" s="6" t="n"/>
      <c r="C70" s="5" t="n"/>
      <c r="D70" s="5" t="n"/>
      <c r="E70" s="5" t="n"/>
      <c r="F70" s="6" t="n"/>
      <c r="G70" s="6" t="n"/>
      <c r="H70" s="7">
        <f>IF(AND(F70="",G70=""),"", "Risk of """ &amp; F70 &amp; """ because of """ &amp; SUBSTITUTE(G70, ", ", """ and """) &amp; """")</f>
        <v/>
      </c>
      <c r="I70" s="5" t="n"/>
      <c r="J70" s="5" t="n"/>
      <c r="K70" s="5" t="n"/>
      <c r="L70" s="8">
        <f>IF(E70="Confidential", 4, IF(E70="Sensitive", 3, IF(E70="Private", 2, IF(E70="Public", 1, ""))))</f>
        <v/>
      </c>
      <c r="M70" s="5" t="n"/>
      <c r="N70" s="8">
        <f>IF(OR(L70="",M70=""), "", L70*M70)</f>
        <v/>
      </c>
      <c r="O70" s="8">
        <f>IF(N70="","", IF(N70&gt;6, "High", IF(N70&gt;=4, "Medium", "Low")))</f>
        <v/>
      </c>
      <c r="P70" s="6" t="n"/>
      <c r="Q70" s="5" t="n"/>
      <c r="R70" s="5" t="n"/>
      <c r="S70" s="5" t="n"/>
      <c r="T70" s="6" t="n"/>
      <c r="U70" s="6" t="n"/>
      <c r="V70" s="6" t="n"/>
      <c r="W70" s="6" t="n"/>
      <c r="X70" s="6" t="n"/>
      <c r="Y70" s="6" t="n"/>
    </row>
    <row r="71" ht="22" customHeight="1">
      <c r="A71" s="5" t="n"/>
      <c r="B71" s="6" t="n"/>
      <c r="C71" s="5" t="n"/>
      <c r="D71" s="5" t="n"/>
      <c r="E71" s="5" t="n"/>
      <c r="F71" s="6" t="n"/>
      <c r="G71" s="6" t="n"/>
      <c r="H71" s="7">
        <f>IF(AND(F71="",G71=""),"", "Risk of """ &amp; F71 &amp; """ because of """ &amp; SUBSTITUTE(G71, ", ", """ and """) &amp; """")</f>
        <v/>
      </c>
      <c r="I71" s="5" t="n"/>
      <c r="J71" s="5" t="n"/>
      <c r="K71" s="5" t="n"/>
      <c r="L71" s="8">
        <f>IF(E71="Confidential", 4, IF(E71="Sensitive", 3, IF(E71="Private", 2, IF(E71="Public", 1, ""))))</f>
        <v/>
      </c>
      <c r="M71" s="5" t="n"/>
      <c r="N71" s="8">
        <f>IF(OR(L71="",M71=""), "", L71*M71)</f>
        <v/>
      </c>
      <c r="O71" s="8">
        <f>IF(N71="","", IF(N71&gt;6, "High", IF(N71&gt;=4, "Medium", "Low")))</f>
        <v/>
      </c>
      <c r="P71" s="6" t="n"/>
      <c r="Q71" s="5" t="n"/>
      <c r="R71" s="5" t="n"/>
      <c r="S71" s="5" t="n"/>
      <c r="T71" s="6" t="n"/>
      <c r="U71" s="6" t="n"/>
      <c r="V71" s="6" t="n"/>
      <c r="W71" s="6" t="n"/>
      <c r="X71" s="6" t="n"/>
      <c r="Y71" s="6" t="n"/>
    </row>
    <row r="72" ht="22" customHeight="1">
      <c r="A72" s="5" t="n"/>
      <c r="B72" s="6" t="n"/>
      <c r="C72" s="5" t="n"/>
      <c r="D72" s="5" t="n"/>
      <c r="E72" s="5" t="n"/>
      <c r="F72" s="6" t="n"/>
      <c r="G72" s="6" t="n"/>
      <c r="H72" s="7">
        <f>IF(AND(F72="",G72=""),"", "Risk of """ &amp; F72 &amp; """ because of """ &amp; SUBSTITUTE(G72, ", ", """ and """) &amp; """")</f>
        <v/>
      </c>
      <c r="I72" s="5" t="n"/>
      <c r="J72" s="5" t="n"/>
      <c r="K72" s="5" t="n"/>
      <c r="L72" s="8">
        <f>IF(E72="Confidential", 4, IF(E72="Sensitive", 3, IF(E72="Private", 2, IF(E72="Public", 1, ""))))</f>
        <v/>
      </c>
      <c r="M72" s="5" t="n"/>
      <c r="N72" s="8">
        <f>IF(OR(L72="",M72=""), "", L72*M72)</f>
        <v/>
      </c>
      <c r="O72" s="8">
        <f>IF(N72="","", IF(N72&gt;6, "High", IF(N72&gt;=4, "Medium", "Low")))</f>
        <v/>
      </c>
      <c r="P72" s="6" t="n"/>
      <c r="Q72" s="5" t="n"/>
      <c r="R72" s="5" t="n"/>
      <c r="S72" s="5" t="n"/>
      <c r="T72" s="6" t="n"/>
      <c r="U72" s="6" t="n"/>
      <c r="V72" s="6" t="n"/>
      <c r="W72" s="6" t="n"/>
      <c r="X72" s="6" t="n"/>
      <c r="Y72" s="6" t="n"/>
    </row>
    <row r="73" ht="22" customHeight="1">
      <c r="A73" s="5" t="n"/>
      <c r="B73" s="6" t="n"/>
      <c r="C73" s="5" t="n"/>
      <c r="D73" s="5" t="n"/>
      <c r="E73" s="5" t="n"/>
      <c r="F73" s="6" t="n"/>
      <c r="G73" s="6" t="n"/>
      <c r="H73" s="7">
        <f>IF(AND(F73="",G73=""),"", "Risk of """ &amp; F73 &amp; """ because of """ &amp; SUBSTITUTE(G73, ", ", """ and """) &amp; """")</f>
        <v/>
      </c>
      <c r="I73" s="5" t="n"/>
      <c r="J73" s="5" t="n"/>
      <c r="K73" s="5" t="n"/>
      <c r="L73" s="8">
        <f>IF(E73="Confidential", 4, IF(E73="Sensitive", 3, IF(E73="Private", 2, IF(E73="Public", 1, ""))))</f>
        <v/>
      </c>
      <c r="M73" s="5" t="n"/>
      <c r="N73" s="8">
        <f>IF(OR(L73="",M73=""), "", L73*M73)</f>
        <v/>
      </c>
      <c r="O73" s="8">
        <f>IF(N73="","", IF(N73&gt;6, "High", IF(N73&gt;=4, "Medium", "Low")))</f>
        <v/>
      </c>
      <c r="P73" s="6" t="n"/>
      <c r="Q73" s="5" t="n"/>
      <c r="R73" s="5" t="n"/>
      <c r="S73" s="5" t="n"/>
      <c r="T73" s="6" t="n"/>
      <c r="U73" s="6" t="n"/>
      <c r="V73" s="6" t="n"/>
      <c r="W73" s="6" t="n"/>
      <c r="X73" s="6" t="n"/>
      <c r="Y73" s="6" t="n"/>
    </row>
    <row r="74" ht="22" customHeight="1">
      <c r="A74" s="5" t="n"/>
      <c r="B74" s="6" t="n"/>
      <c r="C74" s="5" t="n"/>
      <c r="D74" s="5" t="n"/>
      <c r="E74" s="5" t="n"/>
      <c r="F74" s="6" t="n"/>
      <c r="G74" s="6" t="n"/>
      <c r="H74" s="7">
        <f>IF(AND(F74="",G74=""),"", "Risk of """ &amp; F74 &amp; """ because of """ &amp; SUBSTITUTE(G74, ", ", """ and """) &amp; """")</f>
        <v/>
      </c>
      <c r="I74" s="5" t="n"/>
      <c r="J74" s="5" t="n"/>
      <c r="K74" s="5" t="n"/>
      <c r="L74" s="8">
        <f>IF(E74="Confidential", 4, IF(E74="Sensitive", 3, IF(E74="Private", 2, IF(E74="Public", 1, ""))))</f>
        <v/>
      </c>
      <c r="M74" s="5" t="n"/>
      <c r="N74" s="8">
        <f>IF(OR(L74="",M74=""), "", L74*M74)</f>
        <v/>
      </c>
      <c r="O74" s="8">
        <f>IF(N74="","", IF(N74&gt;6, "High", IF(N74&gt;=4, "Medium", "Low")))</f>
        <v/>
      </c>
      <c r="P74" s="6" t="n"/>
      <c r="Q74" s="5" t="n"/>
      <c r="R74" s="5" t="n"/>
      <c r="S74" s="5" t="n"/>
      <c r="T74" s="6" t="n"/>
      <c r="U74" s="6" t="n"/>
      <c r="V74" s="6" t="n"/>
      <c r="W74" s="6" t="n"/>
      <c r="X74" s="6" t="n"/>
      <c r="Y74" s="6" t="n"/>
    </row>
    <row r="75" ht="22" customHeight="1">
      <c r="A75" s="5" t="n"/>
      <c r="B75" s="6" t="n"/>
      <c r="C75" s="5" t="n"/>
      <c r="D75" s="5" t="n"/>
      <c r="E75" s="5" t="n"/>
      <c r="F75" s="6" t="n"/>
      <c r="G75" s="6" t="n"/>
      <c r="H75" s="7">
        <f>IF(AND(F75="",G75=""),"", "Risk of """ &amp; F75 &amp; """ because of """ &amp; SUBSTITUTE(G75, ", ", """ and """) &amp; """")</f>
        <v/>
      </c>
      <c r="I75" s="5" t="n"/>
      <c r="J75" s="5" t="n"/>
      <c r="K75" s="5" t="n"/>
      <c r="L75" s="8">
        <f>IF(E75="Confidential", 4, IF(E75="Sensitive", 3, IF(E75="Private", 2, IF(E75="Public", 1, ""))))</f>
        <v/>
      </c>
      <c r="M75" s="5" t="n"/>
      <c r="N75" s="8">
        <f>IF(OR(L75="",M75=""), "", L75*M75)</f>
        <v/>
      </c>
      <c r="O75" s="8">
        <f>IF(N75="","", IF(N75&gt;6, "High", IF(N75&gt;=4, "Medium", "Low")))</f>
        <v/>
      </c>
      <c r="P75" s="6" t="n"/>
      <c r="Q75" s="5" t="n"/>
      <c r="R75" s="5" t="n"/>
      <c r="S75" s="5" t="n"/>
      <c r="T75" s="6" t="n"/>
      <c r="U75" s="6" t="n"/>
      <c r="V75" s="6" t="n"/>
      <c r="W75" s="6" t="n"/>
      <c r="X75" s="6" t="n"/>
      <c r="Y75" s="6" t="n"/>
    </row>
    <row r="76" ht="22" customHeight="1">
      <c r="A76" s="5" t="n"/>
      <c r="B76" s="6" t="n"/>
      <c r="C76" s="5" t="n"/>
      <c r="D76" s="5" t="n"/>
      <c r="E76" s="5" t="n"/>
      <c r="F76" s="6" t="n"/>
      <c r="G76" s="6" t="n"/>
      <c r="H76" s="7">
        <f>IF(AND(F76="",G76=""),"", "Risk of """ &amp; F76 &amp; """ because of """ &amp; SUBSTITUTE(G76, ", ", """ and """) &amp; """")</f>
        <v/>
      </c>
      <c r="I76" s="5" t="n"/>
      <c r="J76" s="5" t="n"/>
      <c r="K76" s="5" t="n"/>
      <c r="L76" s="8">
        <f>IF(E76="Confidential", 4, IF(E76="Sensitive", 3, IF(E76="Private", 2, IF(E76="Public", 1, ""))))</f>
        <v/>
      </c>
      <c r="M76" s="5" t="n"/>
      <c r="N76" s="8">
        <f>IF(OR(L76="",M76=""), "", L76*M76)</f>
        <v/>
      </c>
      <c r="O76" s="8">
        <f>IF(N76="","", IF(N76&gt;6, "High", IF(N76&gt;=4, "Medium", "Low")))</f>
        <v/>
      </c>
      <c r="P76" s="6" t="n"/>
      <c r="Q76" s="5" t="n"/>
      <c r="R76" s="5" t="n"/>
      <c r="S76" s="5" t="n"/>
      <c r="T76" s="6" t="n"/>
      <c r="U76" s="6" t="n"/>
      <c r="V76" s="6" t="n"/>
      <c r="W76" s="6" t="n"/>
      <c r="X76" s="6" t="n"/>
      <c r="Y76" s="6" t="n"/>
    </row>
    <row r="77" ht="22" customHeight="1">
      <c r="A77" s="5" t="n"/>
      <c r="B77" s="6" t="n"/>
      <c r="C77" s="5" t="n"/>
      <c r="D77" s="5" t="n"/>
      <c r="E77" s="5" t="n"/>
      <c r="F77" s="6" t="n"/>
      <c r="G77" s="6" t="n"/>
      <c r="H77" s="7">
        <f>IF(AND(F77="",G77=""),"", "Risk of """ &amp; F77 &amp; """ because of """ &amp; SUBSTITUTE(G77, ", ", """ and """) &amp; """")</f>
        <v/>
      </c>
      <c r="I77" s="5" t="n"/>
      <c r="J77" s="5" t="n"/>
      <c r="K77" s="5" t="n"/>
      <c r="L77" s="8">
        <f>IF(E77="Confidential", 4, IF(E77="Sensitive", 3, IF(E77="Private", 2, IF(E77="Public", 1, ""))))</f>
        <v/>
      </c>
      <c r="M77" s="5" t="n"/>
      <c r="N77" s="8">
        <f>IF(OR(L77="",M77=""), "", L77*M77)</f>
        <v/>
      </c>
      <c r="O77" s="8">
        <f>IF(N77="","", IF(N77&gt;6, "High", IF(N77&gt;=4, "Medium", "Low")))</f>
        <v/>
      </c>
      <c r="P77" s="6" t="n"/>
      <c r="Q77" s="5" t="n"/>
      <c r="R77" s="5" t="n"/>
      <c r="S77" s="5" t="n"/>
      <c r="T77" s="6" t="n"/>
      <c r="U77" s="6" t="n"/>
      <c r="V77" s="6" t="n"/>
      <c r="W77" s="6" t="n"/>
      <c r="X77" s="6" t="n"/>
      <c r="Y77" s="6" t="n"/>
    </row>
    <row r="78" ht="22" customHeight="1">
      <c r="A78" s="5" t="n"/>
      <c r="B78" s="6" t="n"/>
      <c r="C78" s="5" t="n"/>
      <c r="D78" s="5" t="n"/>
      <c r="E78" s="5" t="n"/>
      <c r="F78" s="6" t="n"/>
      <c r="G78" s="6" t="n"/>
      <c r="H78" s="7">
        <f>IF(AND(F78="",G78=""),"", "Risk of """ &amp; F78 &amp; """ because of """ &amp; SUBSTITUTE(G78, ", ", """ and """) &amp; """")</f>
        <v/>
      </c>
      <c r="I78" s="5" t="n"/>
      <c r="J78" s="5" t="n"/>
      <c r="K78" s="5" t="n"/>
      <c r="L78" s="8">
        <f>IF(E78="Confidential", 4, IF(E78="Sensitive", 3, IF(E78="Private", 2, IF(E78="Public", 1, ""))))</f>
        <v/>
      </c>
      <c r="M78" s="5" t="n"/>
      <c r="N78" s="8">
        <f>IF(OR(L78="",M78=""), "", L78*M78)</f>
        <v/>
      </c>
      <c r="O78" s="8">
        <f>IF(N78="","", IF(N78&gt;6, "High", IF(N78&gt;=4, "Medium", "Low")))</f>
        <v/>
      </c>
      <c r="P78" s="6" t="n"/>
      <c r="Q78" s="5" t="n"/>
      <c r="R78" s="5" t="n"/>
      <c r="S78" s="5" t="n"/>
      <c r="T78" s="6" t="n"/>
      <c r="U78" s="6" t="n"/>
      <c r="V78" s="6" t="n"/>
      <c r="W78" s="6" t="n"/>
      <c r="X78" s="6" t="n"/>
      <c r="Y78" s="6" t="n"/>
    </row>
    <row r="79" ht="22" customHeight="1">
      <c r="A79" s="5" t="n"/>
      <c r="B79" s="6" t="n"/>
      <c r="C79" s="5" t="n"/>
      <c r="D79" s="5" t="n"/>
      <c r="E79" s="5" t="n"/>
      <c r="F79" s="6" t="n"/>
      <c r="G79" s="6" t="n"/>
      <c r="H79" s="7">
        <f>IF(AND(F79="",G79=""),"", "Risk of """ &amp; F79 &amp; """ because of """ &amp; SUBSTITUTE(G79, ", ", """ and """) &amp; """")</f>
        <v/>
      </c>
      <c r="I79" s="5" t="n"/>
      <c r="J79" s="5" t="n"/>
      <c r="K79" s="5" t="n"/>
      <c r="L79" s="8">
        <f>IF(E79="Confidential", 4, IF(E79="Sensitive", 3, IF(E79="Private", 2, IF(E79="Public", 1, ""))))</f>
        <v/>
      </c>
      <c r="M79" s="5" t="n"/>
      <c r="N79" s="8">
        <f>IF(OR(L79="",M79=""), "", L79*M79)</f>
        <v/>
      </c>
      <c r="O79" s="8">
        <f>IF(N79="","", IF(N79&gt;6, "High", IF(N79&gt;=4, "Medium", "Low")))</f>
        <v/>
      </c>
      <c r="P79" s="6" t="n"/>
      <c r="Q79" s="5" t="n"/>
      <c r="R79" s="5" t="n"/>
      <c r="S79" s="5" t="n"/>
      <c r="T79" s="6" t="n"/>
      <c r="U79" s="6" t="n"/>
      <c r="V79" s="6" t="n"/>
      <c r="W79" s="6" t="n"/>
      <c r="X79" s="6" t="n"/>
      <c r="Y79" s="6" t="n"/>
    </row>
    <row r="80" ht="22" customHeight="1">
      <c r="A80" s="5" t="n"/>
      <c r="B80" s="6" t="n"/>
      <c r="C80" s="5" t="n"/>
      <c r="D80" s="5" t="n"/>
      <c r="E80" s="5" t="n"/>
      <c r="F80" s="6" t="n"/>
      <c r="G80" s="6" t="n"/>
      <c r="H80" s="7">
        <f>IF(AND(F80="",G80=""),"", "Risk of """ &amp; F80 &amp; """ because of """ &amp; SUBSTITUTE(G80, ", ", """ and """) &amp; """")</f>
        <v/>
      </c>
      <c r="I80" s="5" t="n"/>
      <c r="J80" s="5" t="n"/>
      <c r="K80" s="5" t="n"/>
      <c r="L80" s="8">
        <f>IF(E80="Confidential", 4, IF(E80="Sensitive", 3, IF(E80="Private", 2, IF(E80="Public", 1, ""))))</f>
        <v/>
      </c>
      <c r="M80" s="5" t="n"/>
      <c r="N80" s="8">
        <f>IF(OR(L80="",M80=""), "", L80*M80)</f>
        <v/>
      </c>
      <c r="O80" s="8">
        <f>IF(N80="","", IF(N80&gt;6, "High", IF(N80&gt;=4, "Medium", "Low")))</f>
        <v/>
      </c>
      <c r="P80" s="6" t="n"/>
      <c r="Q80" s="5" t="n"/>
      <c r="R80" s="5" t="n"/>
      <c r="S80" s="5" t="n"/>
      <c r="T80" s="6" t="n"/>
      <c r="U80" s="6" t="n"/>
      <c r="V80" s="6" t="n"/>
      <c r="W80" s="6" t="n"/>
      <c r="X80" s="6" t="n"/>
      <c r="Y80" s="6" t="n"/>
    </row>
    <row r="81" ht="22" customHeight="1">
      <c r="A81" s="5" t="n"/>
      <c r="B81" s="6" t="n"/>
      <c r="C81" s="5" t="n"/>
      <c r="D81" s="5" t="n"/>
      <c r="E81" s="5" t="n"/>
      <c r="F81" s="6" t="n"/>
      <c r="G81" s="6" t="n"/>
      <c r="H81" s="7">
        <f>IF(AND(F81="",G81=""),"", "Risk of """ &amp; F81 &amp; """ because of """ &amp; SUBSTITUTE(G81, ", ", """ and """) &amp; """")</f>
        <v/>
      </c>
      <c r="I81" s="5" t="n"/>
      <c r="J81" s="5" t="n"/>
      <c r="K81" s="5" t="n"/>
      <c r="L81" s="8">
        <f>IF(E81="Confidential", 4, IF(E81="Sensitive", 3, IF(E81="Private", 2, IF(E81="Public", 1, ""))))</f>
        <v/>
      </c>
      <c r="M81" s="5" t="n"/>
      <c r="N81" s="8">
        <f>IF(OR(L81="",M81=""), "", L81*M81)</f>
        <v/>
      </c>
      <c r="O81" s="8">
        <f>IF(N81="","", IF(N81&gt;6, "High", IF(N81&gt;=4, "Medium", "Low")))</f>
        <v/>
      </c>
      <c r="P81" s="6" t="n"/>
      <c r="Q81" s="5" t="n"/>
      <c r="R81" s="5" t="n"/>
      <c r="S81" s="5" t="n"/>
      <c r="T81" s="6" t="n"/>
      <c r="U81" s="6" t="n"/>
      <c r="V81" s="6" t="n"/>
      <c r="W81" s="6" t="n"/>
      <c r="X81" s="6" t="n"/>
      <c r="Y81" s="6" t="n"/>
    </row>
    <row r="82" ht="22" customHeight="1">
      <c r="A82" s="5" t="n"/>
      <c r="B82" s="6" t="n"/>
      <c r="C82" s="5" t="n"/>
      <c r="D82" s="5" t="n"/>
      <c r="E82" s="5" t="n"/>
      <c r="F82" s="6" t="n"/>
      <c r="G82" s="6" t="n"/>
      <c r="H82" s="7">
        <f>IF(AND(F82="",G82=""),"", "Risk of """ &amp; F82 &amp; """ because of """ &amp; SUBSTITUTE(G82, ", ", """ and """) &amp; """")</f>
        <v/>
      </c>
      <c r="I82" s="5" t="n"/>
      <c r="J82" s="5" t="n"/>
      <c r="K82" s="5" t="n"/>
      <c r="L82" s="8">
        <f>IF(E82="Confidential", 4, IF(E82="Sensitive", 3, IF(E82="Private", 2, IF(E82="Public", 1, ""))))</f>
        <v/>
      </c>
      <c r="M82" s="5" t="n"/>
      <c r="N82" s="8">
        <f>IF(OR(L82="",M82=""), "", L82*M82)</f>
        <v/>
      </c>
      <c r="O82" s="8">
        <f>IF(N82="","", IF(N82&gt;6, "High", IF(N82&gt;=4, "Medium", "Low")))</f>
        <v/>
      </c>
      <c r="P82" s="6" t="n"/>
      <c r="Q82" s="5" t="n"/>
      <c r="R82" s="5" t="n"/>
      <c r="S82" s="5" t="n"/>
      <c r="T82" s="6" t="n"/>
      <c r="U82" s="6" t="n"/>
      <c r="V82" s="6" t="n"/>
      <c r="W82" s="6" t="n"/>
      <c r="X82" s="6" t="n"/>
      <c r="Y82" s="6" t="n"/>
    </row>
    <row r="83" ht="22" customHeight="1">
      <c r="A83" s="5" t="n"/>
      <c r="B83" s="6" t="n"/>
      <c r="C83" s="5" t="n"/>
      <c r="D83" s="5" t="n"/>
      <c r="E83" s="5" t="n"/>
      <c r="F83" s="6" t="n"/>
      <c r="G83" s="6" t="n"/>
      <c r="H83" s="7">
        <f>IF(AND(F83="",G83=""),"", "Risk of """ &amp; F83 &amp; """ because of """ &amp; SUBSTITUTE(G83, ", ", """ and """) &amp; """")</f>
        <v/>
      </c>
      <c r="I83" s="5" t="n"/>
      <c r="J83" s="5" t="n"/>
      <c r="K83" s="5" t="n"/>
      <c r="L83" s="8">
        <f>IF(E83="Confidential", 4, IF(E83="Sensitive", 3, IF(E83="Private", 2, IF(E83="Public", 1, ""))))</f>
        <v/>
      </c>
      <c r="M83" s="5" t="n"/>
      <c r="N83" s="8">
        <f>IF(OR(L83="",M83=""), "", L83*M83)</f>
        <v/>
      </c>
      <c r="O83" s="8">
        <f>IF(N83="","", IF(N83&gt;6, "High", IF(N83&gt;=4, "Medium", "Low")))</f>
        <v/>
      </c>
      <c r="P83" s="6" t="n"/>
      <c r="Q83" s="5" t="n"/>
      <c r="R83" s="5" t="n"/>
      <c r="S83" s="5" t="n"/>
      <c r="T83" s="6" t="n"/>
      <c r="U83" s="6" t="n"/>
      <c r="V83" s="6" t="n"/>
      <c r="W83" s="6" t="n"/>
      <c r="X83" s="6" t="n"/>
      <c r="Y83" s="6" t="n"/>
    </row>
    <row r="84" ht="22" customHeight="1">
      <c r="A84" s="5" t="n"/>
      <c r="B84" s="6" t="n"/>
      <c r="C84" s="5" t="n"/>
      <c r="D84" s="5" t="n"/>
      <c r="E84" s="5" t="n"/>
      <c r="F84" s="6" t="n"/>
      <c r="G84" s="6" t="n"/>
      <c r="H84" s="7">
        <f>IF(AND(F84="",G84=""),"", "Risk of """ &amp; F84 &amp; """ because of """ &amp; SUBSTITUTE(G84, ", ", """ and """) &amp; """")</f>
        <v/>
      </c>
      <c r="I84" s="5" t="n"/>
      <c r="J84" s="5" t="n"/>
      <c r="K84" s="5" t="n"/>
      <c r="L84" s="8">
        <f>IF(E84="Confidential", 4, IF(E84="Sensitive", 3, IF(E84="Private", 2, IF(E84="Public", 1, ""))))</f>
        <v/>
      </c>
      <c r="M84" s="5" t="n"/>
      <c r="N84" s="8">
        <f>IF(OR(L84="",M84=""), "", L84*M84)</f>
        <v/>
      </c>
      <c r="O84" s="8">
        <f>IF(N84="","", IF(N84&gt;6, "High", IF(N84&gt;=4, "Medium", "Low")))</f>
        <v/>
      </c>
      <c r="P84" s="6" t="n"/>
      <c r="Q84" s="5" t="n"/>
      <c r="R84" s="5" t="n"/>
      <c r="S84" s="5" t="n"/>
      <c r="T84" s="6" t="n"/>
      <c r="U84" s="6" t="n"/>
      <c r="V84" s="6" t="n"/>
      <c r="W84" s="6" t="n"/>
      <c r="X84" s="6" t="n"/>
      <c r="Y84" s="6" t="n"/>
    </row>
    <row r="85" ht="22" customHeight="1">
      <c r="A85" s="5" t="n"/>
      <c r="B85" s="6" t="n"/>
      <c r="C85" s="5" t="n"/>
      <c r="D85" s="5" t="n"/>
      <c r="E85" s="5" t="n"/>
      <c r="F85" s="6" t="n"/>
      <c r="G85" s="6" t="n"/>
      <c r="H85" s="7">
        <f>IF(AND(F85="",G85=""),"", "Risk of """ &amp; F85 &amp; """ because of """ &amp; SUBSTITUTE(G85, ", ", """ and """) &amp; """")</f>
        <v/>
      </c>
      <c r="I85" s="5" t="n"/>
      <c r="J85" s="5" t="n"/>
      <c r="K85" s="5" t="n"/>
      <c r="L85" s="8">
        <f>IF(E85="Confidential", 4, IF(E85="Sensitive", 3, IF(E85="Private", 2, IF(E85="Public", 1, ""))))</f>
        <v/>
      </c>
      <c r="M85" s="5" t="n"/>
      <c r="N85" s="8">
        <f>IF(OR(L85="",M85=""), "", L85*M85)</f>
        <v/>
      </c>
      <c r="O85" s="8">
        <f>IF(N85="","", IF(N85&gt;6, "High", IF(N85&gt;=4, "Medium", "Low")))</f>
        <v/>
      </c>
      <c r="P85" s="6" t="n"/>
      <c r="Q85" s="5" t="n"/>
      <c r="R85" s="5" t="n"/>
      <c r="S85" s="5" t="n"/>
      <c r="T85" s="6" t="n"/>
      <c r="U85" s="6" t="n"/>
      <c r="V85" s="6" t="n"/>
      <c r="W85" s="6" t="n"/>
      <c r="X85" s="6" t="n"/>
      <c r="Y85" s="6" t="n"/>
    </row>
    <row r="86" ht="22" customHeight="1">
      <c r="A86" s="5" t="n"/>
      <c r="B86" s="6" t="n"/>
      <c r="C86" s="5" t="n"/>
      <c r="D86" s="5" t="n"/>
      <c r="E86" s="5" t="n"/>
      <c r="F86" s="6" t="n"/>
      <c r="G86" s="6" t="n"/>
      <c r="H86" s="7">
        <f>IF(AND(F86="",G86=""),"", "Risk of """ &amp; F86 &amp; """ because of """ &amp; SUBSTITUTE(G86, ", ", """ and """) &amp; """")</f>
        <v/>
      </c>
      <c r="I86" s="5" t="n"/>
      <c r="J86" s="5" t="n"/>
      <c r="K86" s="5" t="n"/>
      <c r="L86" s="8">
        <f>IF(E86="Confidential", 4, IF(E86="Sensitive", 3, IF(E86="Private", 2, IF(E86="Public", 1, ""))))</f>
        <v/>
      </c>
      <c r="M86" s="5" t="n"/>
      <c r="N86" s="8">
        <f>IF(OR(L86="",M86=""), "", L86*M86)</f>
        <v/>
      </c>
      <c r="O86" s="8">
        <f>IF(N86="","", IF(N86&gt;6, "High", IF(N86&gt;=4, "Medium", "Low")))</f>
        <v/>
      </c>
      <c r="P86" s="6" t="n"/>
      <c r="Q86" s="5" t="n"/>
      <c r="R86" s="5" t="n"/>
      <c r="S86" s="5" t="n"/>
      <c r="T86" s="6" t="n"/>
      <c r="U86" s="6" t="n"/>
      <c r="V86" s="6" t="n"/>
      <c r="W86" s="6" t="n"/>
      <c r="X86" s="6" t="n"/>
      <c r="Y86" s="6" t="n"/>
    </row>
    <row r="87" ht="22" customHeight="1">
      <c r="A87" s="5" t="n"/>
      <c r="B87" s="6" t="n"/>
      <c r="C87" s="5" t="n"/>
      <c r="D87" s="5" t="n"/>
      <c r="E87" s="5" t="n"/>
      <c r="F87" s="6" t="n"/>
      <c r="G87" s="6" t="n"/>
      <c r="H87" s="7">
        <f>IF(AND(F87="",G87=""),"", "Risk of """ &amp; F87 &amp; """ because of """ &amp; SUBSTITUTE(G87, ", ", """ and """) &amp; """")</f>
        <v/>
      </c>
      <c r="I87" s="5" t="n"/>
      <c r="J87" s="5" t="n"/>
      <c r="K87" s="5" t="n"/>
      <c r="L87" s="8">
        <f>IF(E87="Confidential", 4, IF(E87="Sensitive", 3, IF(E87="Private", 2, IF(E87="Public", 1, ""))))</f>
        <v/>
      </c>
      <c r="M87" s="5" t="n"/>
      <c r="N87" s="8">
        <f>IF(OR(L87="",M87=""), "", L87*M87)</f>
        <v/>
      </c>
      <c r="O87" s="8">
        <f>IF(N87="","", IF(N87&gt;6, "High", IF(N87&gt;=4, "Medium", "Low")))</f>
        <v/>
      </c>
      <c r="P87" s="6" t="n"/>
      <c r="Q87" s="5" t="n"/>
      <c r="R87" s="5" t="n"/>
      <c r="S87" s="5" t="n"/>
      <c r="T87" s="6" t="n"/>
      <c r="U87" s="6" t="n"/>
      <c r="V87" s="6" t="n"/>
      <c r="W87" s="6" t="n"/>
      <c r="X87" s="6" t="n"/>
      <c r="Y87" s="6" t="n"/>
    </row>
    <row r="88" ht="22" customHeight="1">
      <c r="A88" s="5" t="n"/>
      <c r="B88" s="6" t="n"/>
      <c r="C88" s="5" t="n"/>
      <c r="D88" s="5" t="n"/>
      <c r="E88" s="5" t="n"/>
      <c r="F88" s="6" t="n"/>
      <c r="G88" s="6" t="n"/>
      <c r="H88" s="7">
        <f>IF(AND(F88="",G88=""),"", "Risk of """ &amp; F88 &amp; """ because of """ &amp; SUBSTITUTE(G88, ", ", """ and """) &amp; """")</f>
        <v/>
      </c>
      <c r="I88" s="5" t="n"/>
      <c r="J88" s="5" t="n"/>
      <c r="K88" s="5" t="n"/>
      <c r="L88" s="8">
        <f>IF(E88="Confidential", 4, IF(E88="Sensitive", 3, IF(E88="Private", 2, IF(E88="Public", 1, ""))))</f>
        <v/>
      </c>
      <c r="M88" s="5" t="n"/>
      <c r="N88" s="8">
        <f>IF(OR(L88="",M88=""), "", L88*M88)</f>
        <v/>
      </c>
      <c r="O88" s="8">
        <f>IF(N88="","", IF(N88&gt;6, "High", IF(N88&gt;=4, "Medium", "Low")))</f>
        <v/>
      </c>
      <c r="P88" s="6" t="n"/>
      <c r="Q88" s="5" t="n"/>
      <c r="R88" s="5" t="n"/>
      <c r="S88" s="5" t="n"/>
      <c r="T88" s="6" t="n"/>
      <c r="U88" s="6" t="n"/>
      <c r="V88" s="6" t="n"/>
      <c r="W88" s="6" t="n"/>
      <c r="X88" s="6" t="n"/>
      <c r="Y88" s="6" t="n"/>
    </row>
    <row r="89" ht="22" customHeight="1">
      <c r="A89" s="5" t="n"/>
      <c r="B89" s="6" t="n"/>
      <c r="C89" s="5" t="n"/>
      <c r="D89" s="5" t="n"/>
      <c r="E89" s="5" t="n"/>
      <c r="F89" s="6" t="n"/>
      <c r="G89" s="6" t="n"/>
      <c r="H89" s="7">
        <f>IF(AND(F89="",G89=""),"", "Risk of """ &amp; F89 &amp; """ because of """ &amp; SUBSTITUTE(G89, ", ", """ and """) &amp; """")</f>
        <v/>
      </c>
      <c r="I89" s="5" t="n"/>
      <c r="J89" s="5" t="n"/>
      <c r="K89" s="5" t="n"/>
      <c r="L89" s="8">
        <f>IF(E89="Confidential", 4, IF(E89="Sensitive", 3, IF(E89="Private", 2, IF(E89="Public", 1, ""))))</f>
        <v/>
      </c>
      <c r="M89" s="5" t="n"/>
      <c r="N89" s="8">
        <f>IF(OR(L89="",M89=""), "", L89*M89)</f>
        <v/>
      </c>
      <c r="O89" s="8">
        <f>IF(N89="","", IF(N89&gt;6, "High", IF(N89&gt;=4, "Medium", "Low")))</f>
        <v/>
      </c>
      <c r="P89" s="6" t="n"/>
      <c r="Q89" s="5" t="n"/>
      <c r="R89" s="5" t="n"/>
      <c r="S89" s="5" t="n"/>
      <c r="T89" s="6" t="n"/>
      <c r="U89" s="6" t="n"/>
      <c r="V89" s="6" t="n"/>
      <c r="W89" s="6" t="n"/>
      <c r="X89" s="6" t="n"/>
      <c r="Y89" s="6" t="n"/>
    </row>
    <row r="90" ht="22" customHeight="1">
      <c r="A90" s="5" t="n"/>
      <c r="B90" s="6" t="n"/>
      <c r="C90" s="5" t="n"/>
      <c r="D90" s="5" t="n"/>
      <c r="E90" s="5" t="n"/>
      <c r="F90" s="6" t="n"/>
      <c r="G90" s="6" t="n"/>
      <c r="H90" s="7">
        <f>IF(AND(F90="",G90=""),"", "Risk of """ &amp; F90 &amp; """ because of """ &amp; SUBSTITUTE(G90, ", ", """ and """) &amp; """")</f>
        <v/>
      </c>
      <c r="I90" s="5" t="n"/>
      <c r="J90" s="5" t="n"/>
      <c r="K90" s="5" t="n"/>
      <c r="L90" s="8">
        <f>IF(E90="Confidential", 4, IF(E90="Sensitive", 3, IF(E90="Private", 2, IF(E90="Public", 1, ""))))</f>
        <v/>
      </c>
      <c r="M90" s="5" t="n"/>
      <c r="N90" s="8">
        <f>IF(OR(L90="",M90=""), "", L90*M90)</f>
        <v/>
      </c>
      <c r="O90" s="8">
        <f>IF(N90="","", IF(N90&gt;6, "High", IF(N90&gt;=4, "Medium", "Low")))</f>
        <v/>
      </c>
      <c r="P90" s="6" t="n"/>
      <c r="Q90" s="5" t="n"/>
      <c r="R90" s="5" t="n"/>
      <c r="S90" s="5" t="n"/>
      <c r="T90" s="6" t="n"/>
      <c r="U90" s="6" t="n"/>
      <c r="V90" s="6" t="n"/>
      <c r="W90" s="6" t="n"/>
      <c r="X90" s="6" t="n"/>
      <c r="Y90" s="6" t="n"/>
    </row>
    <row r="91" ht="22" customHeight="1">
      <c r="A91" s="5" t="n"/>
      <c r="B91" s="6" t="n"/>
      <c r="C91" s="5" t="n"/>
      <c r="D91" s="5" t="n"/>
      <c r="E91" s="5" t="n"/>
      <c r="F91" s="6" t="n"/>
      <c r="G91" s="6" t="n"/>
      <c r="H91" s="7">
        <f>IF(AND(F91="",G91=""),"", "Risk of """ &amp; F91 &amp; """ because of """ &amp; SUBSTITUTE(G91, ", ", """ and """) &amp; """")</f>
        <v/>
      </c>
      <c r="I91" s="5" t="n"/>
      <c r="J91" s="5" t="n"/>
      <c r="K91" s="5" t="n"/>
      <c r="L91" s="8">
        <f>IF(E91="Confidential", 4, IF(E91="Sensitive", 3, IF(E91="Private", 2, IF(E91="Public", 1, ""))))</f>
        <v/>
      </c>
      <c r="M91" s="5" t="n"/>
      <c r="N91" s="8">
        <f>IF(OR(L91="",M91=""), "", L91*M91)</f>
        <v/>
      </c>
      <c r="O91" s="8">
        <f>IF(N91="","", IF(N91&gt;6, "High", IF(N91&gt;=4, "Medium", "Low")))</f>
        <v/>
      </c>
      <c r="P91" s="6" t="n"/>
      <c r="Q91" s="5" t="n"/>
      <c r="R91" s="5" t="n"/>
      <c r="S91" s="5" t="n"/>
      <c r="T91" s="6" t="n"/>
      <c r="U91" s="6" t="n"/>
      <c r="V91" s="6" t="n"/>
      <c r="W91" s="6" t="n"/>
      <c r="X91" s="6" t="n"/>
      <c r="Y91" s="6" t="n"/>
    </row>
    <row r="92" ht="22" customHeight="1">
      <c r="A92" s="5" t="n"/>
      <c r="B92" s="6" t="n"/>
      <c r="C92" s="5" t="n"/>
      <c r="D92" s="5" t="n"/>
      <c r="E92" s="5" t="n"/>
      <c r="F92" s="6" t="n"/>
      <c r="G92" s="6" t="n"/>
      <c r="H92" s="7">
        <f>IF(AND(F92="",G92=""),"", "Risk of """ &amp; F92 &amp; """ because of """ &amp; SUBSTITUTE(G92, ", ", """ and """) &amp; """")</f>
        <v/>
      </c>
      <c r="I92" s="5" t="n"/>
      <c r="J92" s="5" t="n"/>
      <c r="K92" s="5" t="n"/>
      <c r="L92" s="8">
        <f>IF(E92="Confidential", 4, IF(E92="Sensitive", 3, IF(E92="Private", 2, IF(E92="Public", 1, ""))))</f>
        <v/>
      </c>
      <c r="M92" s="5" t="n"/>
      <c r="N92" s="8">
        <f>IF(OR(L92="",M92=""), "", L92*M92)</f>
        <v/>
      </c>
      <c r="O92" s="8">
        <f>IF(N92="","", IF(N92&gt;6, "High", IF(N92&gt;=4, "Medium", "Low")))</f>
        <v/>
      </c>
      <c r="P92" s="6" t="n"/>
      <c r="Q92" s="5" t="n"/>
      <c r="R92" s="5" t="n"/>
      <c r="S92" s="5" t="n"/>
      <c r="T92" s="6" t="n"/>
      <c r="U92" s="6" t="n"/>
      <c r="V92" s="6" t="n"/>
      <c r="W92" s="6" t="n"/>
      <c r="X92" s="6" t="n"/>
      <c r="Y92" s="6" t="n"/>
    </row>
    <row r="93" ht="22" customHeight="1">
      <c r="A93" s="5" t="n"/>
      <c r="B93" s="6" t="n"/>
      <c r="C93" s="5" t="n"/>
      <c r="D93" s="5" t="n"/>
      <c r="E93" s="5" t="n"/>
      <c r="F93" s="6" t="n"/>
      <c r="G93" s="6" t="n"/>
      <c r="H93" s="7">
        <f>IF(AND(F93="",G93=""),"", "Risk of """ &amp; F93 &amp; """ because of """ &amp; SUBSTITUTE(G93, ", ", """ and """) &amp; """")</f>
        <v/>
      </c>
      <c r="I93" s="5" t="n"/>
      <c r="J93" s="5" t="n"/>
      <c r="K93" s="5" t="n"/>
      <c r="L93" s="8">
        <f>IF(E93="Confidential", 4, IF(E93="Sensitive", 3, IF(E93="Private", 2, IF(E93="Public", 1, ""))))</f>
        <v/>
      </c>
      <c r="M93" s="5" t="n"/>
      <c r="N93" s="8">
        <f>IF(OR(L93="",M93=""), "", L93*M93)</f>
        <v/>
      </c>
      <c r="O93" s="8">
        <f>IF(N93="","", IF(N93&gt;6, "High", IF(N93&gt;=4, "Medium", "Low")))</f>
        <v/>
      </c>
      <c r="P93" s="6" t="n"/>
      <c r="Q93" s="5" t="n"/>
      <c r="R93" s="5" t="n"/>
      <c r="S93" s="5" t="n"/>
      <c r="T93" s="6" t="n"/>
      <c r="U93" s="6" t="n"/>
      <c r="V93" s="6" t="n"/>
      <c r="W93" s="6" t="n"/>
      <c r="X93" s="6" t="n"/>
      <c r="Y93" s="6" t="n"/>
    </row>
    <row r="94" ht="22" customHeight="1">
      <c r="A94" s="5" t="n"/>
      <c r="B94" s="6" t="n"/>
      <c r="C94" s="5" t="n"/>
      <c r="D94" s="5" t="n"/>
      <c r="E94" s="5" t="n"/>
      <c r="F94" s="6" t="n"/>
      <c r="G94" s="6" t="n"/>
      <c r="H94" s="7">
        <f>IF(AND(F94="",G94=""),"", "Risk of """ &amp; F94 &amp; """ because of """ &amp; SUBSTITUTE(G94, ", ", """ and """) &amp; """")</f>
        <v/>
      </c>
      <c r="I94" s="5" t="n"/>
      <c r="J94" s="5" t="n"/>
      <c r="K94" s="5" t="n"/>
      <c r="L94" s="8">
        <f>IF(E94="Confidential", 4, IF(E94="Sensitive", 3, IF(E94="Private", 2, IF(E94="Public", 1, ""))))</f>
        <v/>
      </c>
      <c r="M94" s="5" t="n"/>
      <c r="N94" s="8">
        <f>IF(OR(L94="",M94=""), "", L94*M94)</f>
        <v/>
      </c>
      <c r="O94" s="8">
        <f>IF(N94="","", IF(N94&gt;6, "High", IF(N94&gt;=4, "Medium", "Low")))</f>
        <v/>
      </c>
      <c r="P94" s="6" t="n"/>
      <c r="Q94" s="5" t="n"/>
      <c r="R94" s="5" t="n"/>
      <c r="S94" s="5" t="n"/>
      <c r="T94" s="6" t="n"/>
      <c r="U94" s="6" t="n"/>
      <c r="V94" s="6" t="n"/>
      <c r="W94" s="6" t="n"/>
      <c r="X94" s="6" t="n"/>
      <c r="Y94" s="6" t="n"/>
    </row>
    <row r="95" ht="22" customHeight="1">
      <c r="A95" s="5" t="n"/>
      <c r="B95" s="6" t="n"/>
      <c r="C95" s="5" t="n"/>
      <c r="D95" s="5" t="n"/>
      <c r="E95" s="5" t="n"/>
      <c r="F95" s="6" t="n"/>
      <c r="G95" s="6" t="n"/>
      <c r="H95" s="7">
        <f>IF(AND(F95="",G95=""),"", "Risk of """ &amp; F95 &amp; """ because of """ &amp; SUBSTITUTE(G95, ", ", """ and """) &amp; """")</f>
        <v/>
      </c>
      <c r="I95" s="5" t="n"/>
      <c r="J95" s="5" t="n"/>
      <c r="K95" s="5" t="n"/>
      <c r="L95" s="8">
        <f>IF(E95="Confidential", 4, IF(E95="Sensitive", 3, IF(E95="Private", 2, IF(E95="Public", 1, ""))))</f>
        <v/>
      </c>
      <c r="M95" s="5" t="n"/>
      <c r="N95" s="8">
        <f>IF(OR(L95="",M95=""), "", L95*M95)</f>
        <v/>
      </c>
      <c r="O95" s="8">
        <f>IF(N95="","", IF(N95&gt;6, "High", IF(N95&gt;=4, "Medium", "Low")))</f>
        <v/>
      </c>
      <c r="P95" s="6" t="n"/>
      <c r="Q95" s="5" t="n"/>
      <c r="R95" s="5" t="n"/>
      <c r="S95" s="5" t="n"/>
      <c r="T95" s="6" t="n"/>
      <c r="U95" s="6" t="n"/>
      <c r="V95" s="6" t="n"/>
      <c r="W95" s="6" t="n"/>
      <c r="X95" s="6" t="n"/>
      <c r="Y95" s="6" t="n"/>
    </row>
    <row r="96" ht="22" customHeight="1">
      <c r="A96" s="5" t="n"/>
      <c r="B96" s="6" t="n"/>
      <c r="C96" s="5" t="n"/>
      <c r="D96" s="5" t="n"/>
      <c r="E96" s="5" t="n"/>
      <c r="F96" s="6" t="n"/>
      <c r="G96" s="6" t="n"/>
      <c r="H96" s="7">
        <f>IF(AND(F96="",G96=""),"", "Risk of """ &amp; F96 &amp; """ because of """ &amp; SUBSTITUTE(G96, ", ", """ and """) &amp; """")</f>
        <v/>
      </c>
      <c r="I96" s="5" t="n"/>
      <c r="J96" s="5" t="n"/>
      <c r="K96" s="5" t="n"/>
      <c r="L96" s="8">
        <f>IF(E96="Confidential", 4, IF(E96="Sensitive", 3, IF(E96="Private", 2, IF(E96="Public", 1, ""))))</f>
        <v/>
      </c>
      <c r="M96" s="5" t="n"/>
      <c r="N96" s="8">
        <f>IF(OR(L96="",M96=""), "", L96*M96)</f>
        <v/>
      </c>
      <c r="O96" s="8">
        <f>IF(N96="","", IF(N96&gt;6, "High", IF(N96&gt;=4, "Medium", "Low")))</f>
        <v/>
      </c>
      <c r="P96" s="6" t="n"/>
      <c r="Q96" s="5" t="n"/>
      <c r="R96" s="5" t="n"/>
      <c r="S96" s="5" t="n"/>
      <c r="T96" s="6" t="n"/>
      <c r="U96" s="6" t="n"/>
      <c r="V96" s="6" t="n"/>
      <c r="W96" s="6" t="n"/>
      <c r="X96" s="6" t="n"/>
      <c r="Y96" s="6" t="n"/>
    </row>
    <row r="97" ht="22" customHeight="1">
      <c r="A97" s="5" t="n"/>
      <c r="B97" s="6" t="n"/>
      <c r="C97" s="5" t="n"/>
      <c r="D97" s="5" t="n"/>
      <c r="E97" s="5" t="n"/>
      <c r="F97" s="6" t="n"/>
      <c r="G97" s="6" t="n"/>
      <c r="H97" s="7">
        <f>IF(AND(F97="",G97=""),"", "Risk of """ &amp; F97 &amp; """ because of """ &amp; SUBSTITUTE(G97, ", ", """ and """) &amp; """")</f>
        <v/>
      </c>
      <c r="I97" s="5" t="n"/>
      <c r="J97" s="5" t="n"/>
      <c r="K97" s="5" t="n"/>
      <c r="L97" s="8">
        <f>IF(E97="Confidential", 4, IF(E97="Sensitive", 3, IF(E97="Private", 2, IF(E97="Public", 1, ""))))</f>
        <v/>
      </c>
      <c r="M97" s="5" t="n"/>
      <c r="N97" s="8">
        <f>IF(OR(L97="",M97=""), "", L97*M97)</f>
        <v/>
      </c>
      <c r="O97" s="8">
        <f>IF(N97="","", IF(N97&gt;6, "High", IF(N97&gt;=4, "Medium", "Low")))</f>
        <v/>
      </c>
      <c r="P97" s="6" t="n"/>
      <c r="Q97" s="5" t="n"/>
      <c r="R97" s="5" t="n"/>
      <c r="S97" s="5" t="n"/>
      <c r="T97" s="6" t="n"/>
      <c r="U97" s="6" t="n"/>
      <c r="V97" s="6" t="n"/>
      <c r="W97" s="6" t="n"/>
      <c r="X97" s="6" t="n"/>
      <c r="Y97" s="6" t="n"/>
    </row>
    <row r="98" ht="22" customHeight="1">
      <c r="A98" s="5" t="n"/>
      <c r="B98" s="6" t="n"/>
      <c r="C98" s="5" t="n"/>
      <c r="D98" s="5" t="n"/>
      <c r="E98" s="5" t="n"/>
      <c r="F98" s="6" t="n"/>
      <c r="G98" s="6" t="n"/>
      <c r="H98" s="7">
        <f>IF(AND(F98="",G98=""),"", "Risk of """ &amp; F98 &amp; """ because of """ &amp; SUBSTITUTE(G98, ", ", """ and """) &amp; """")</f>
        <v/>
      </c>
      <c r="I98" s="5" t="n"/>
      <c r="J98" s="5" t="n"/>
      <c r="K98" s="5" t="n"/>
      <c r="L98" s="8">
        <f>IF(E98="Confidential", 4, IF(E98="Sensitive", 3, IF(E98="Private", 2, IF(E98="Public", 1, ""))))</f>
        <v/>
      </c>
      <c r="M98" s="5" t="n"/>
      <c r="N98" s="8">
        <f>IF(OR(L98="",M98=""), "", L98*M98)</f>
        <v/>
      </c>
      <c r="O98" s="8">
        <f>IF(N98="","", IF(N98&gt;6, "High", IF(N98&gt;=4, "Medium", "Low")))</f>
        <v/>
      </c>
      <c r="P98" s="6" t="n"/>
      <c r="Q98" s="5" t="n"/>
      <c r="R98" s="5" t="n"/>
      <c r="S98" s="5" t="n"/>
      <c r="T98" s="6" t="n"/>
      <c r="U98" s="6" t="n"/>
      <c r="V98" s="6" t="n"/>
      <c r="W98" s="6" t="n"/>
      <c r="X98" s="6" t="n"/>
      <c r="Y98" s="6" t="n"/>
    </row>
    <row r="99" ht="22" customHeight="1">
      <c r="A99" s="5" t="n"/>
      <c r="B99" s="6" t="n"/>
      <c r="C99" s="5" t="n"/>
      <c r="D99" s="5" t="n"/>
      <c r="E99" s="5" t="n"/>
      <c r="F99" s="6" t="n"/>
      <c r="G99" s="6" t="n"/>
      <c r="H99" s="7">
        <f>IF(AND(F99="",G99=""),"", "Risk of """ &amp; F99 &amp; """ because of """ &amp; SUBSTITUTE(G99, ", ", """ and """) &amp; """")</f>
        <v/>
      </c>
      <c r="I99" s="5" t="n"/>
      <c r="J99" s="5" t="n"/>
      <c r="K99" s="5" t="n"/>
      <c r="L99" s="8">
        <f>IF(E99="Confidential", 4, IF(E99="Sensitive", 3, IF(E99="Private", 2, IF(E99="Public", 1, ""))))</f>
        <v/>
      </c>
      <c r="M99" s="5" t="n"/>
      <c r="N99" s="8">
        <f>IF(OR(L99="",M99=""), "", L99*M99)</f>
        <v/>
      </c>
      <c r="O99" s="8">
        <f>IF(N99="","", IF(N99&gt;6, "High", IF(N99&gt;=4, "Medium", "Low")))</f>
        <v/>
      </c>
      <c r="P99" s="6" t="n"/>
      <c r="Q99" s="5" t="n"/>
      <c r="R99" s="5" t="n"/>
      <c r="S99" s="5" t="n"/>
      <c r="T99" s="6" t="n"/>
      <c r="U99" s="6" t="n"/>
      <c r="V99" s="6" t="n"/>
      <c r="W99" s="6" t="n"/>
      <c r="X99" s="6" t="n"/>
      <c r="Y99" s="6" t="n"/>
    </row>
    <row r="100" ht="22" customHeight="1">
      <c r="A100" s="5" t="n"/>
      <c r="B100" s="6" t="n"/>
      <c r="C100" s="5" t="n"/>
      <c r="D100" s="5" t="n"/>
      <c r="E100" s="5" t="n"/>
      <c r="F100" s="6" t="n"/>
      <c r="G100" s="6" t="n"/>
      <c r="H100" s="7">
        <f>IF(AND(F100="",G100=""),"", "Risk of """ &amp; F100 &amp; """ because of """ &amp; SUBSTITUTE(G100, ", ", """ and """) &amp; """")</f>
        <v/>
      </c>
      <c r="I100" s="5" t="n"/>
      <c r="J100" s="5" t="n"/>
      <c r="K100" s="5" t="n"/>
      <c r="L100" s="8">
        <f>IF(E100="Confidential", 4, IF(E100="Sensitive", 3, IF(E100="Private", 2, IF(E100="Public", 1, ""))))</f>
        <v/>
      </c>
      <c r="M100" s="5" t="n"/>
      <c r="N100" s="8">
        <f>IF(OR(L100="",M100=""), "", L100*M100)</f>
        <v/>
      </c>
      <c r="O100" s="8">
        <f>IF(N100="","", IF(N100&gt;6, "High", IF(N100&gt;=4, "Medium", "Low")))</f>
        <v/>
      </c>
      <c r="P100" s="6" t="n"/>
      <c r="Q100" s="5" t="n"/>
      <c r="R100" s="5" t="n"/>
      <c r="S100" s="5" t="n"/>
      <c r="T100" s="6" t="n"/>
      <c r="U100" s="6" t="n"/>
      <c r="V100" s="6" t="n"/>
      <c r="W100" s="6" t="n"/>
      <c r="X100" s="6" t="n"/>
      <c r="Y100" s="6" t="n"/>
    </row>
    <row r="101" ht="22" customHeight="1">
      <c r="A101" s="5" t="n"/>
      <c r="B101" s="6" t="n"/>
      <c r="C101" s="5" t="n"/>
      <c r="D101" s="5" t="n"/>
      <c r="E101" s="5" t="n"/>
      <c r="F101" s="6" t="n"/>
      <c r="G101" s="6" t="n"/>
      <c r="H101" s="7">
        <f>IF(AND(F101="",G101=""),"", "Risk of """ &amp; F101 &amp; """ because of """ &amp; SUBSTITUTE(G101, ", ", """ and """) &amp; """")</f>
        <v/>
      </c>
      <c r="I101" s="5" t="n"/>
      <c r="J101" s="5" t="n"/>
      <c r="K101" s="5" t="n"/>
      <c r="L101" s="8">
        <f>IF(E101="Confidential", 4, IF(E101="Sensitive", 3, IF(E101="Private", 2, IF(E101="Public", 1, ""))))</f>
        <v/>
      </c>
      <c r="M101" s="5" t="n"/>
      <c r="N101" s="8">
        <f>IF(OR(L101="",M101=""), "", L101*M101)</f>
        <v/>
      </c>
      <c r="O101" s="8">
        <f>IF(N101="","", IF(N101&gt;6, "High", IF(N101&gt;=4, "Medium", "Low")))</f>
        <v/>
      </c>
      <c r="P101" s="6" t="n"/>
      <c r="Q101" s="5" t="n"/>
      <c r="R101" s="5" t="n"/>
      <c r="S101" s="5" t="n"/>
      <c r="T101" s="6" t="n"/>
      <c r="U101" s="6" t="n"/>
      <c r="V101" s="6" t="n"/>
      <c r="W101" s="6" t="n"/>
      <c r="X101" s="6" t="n"/>
      <c r="Y101" s="6" t="n"/>
    </row>
    <row r="102" ht="22" customHeight="1">
      <c r="A102" s="5" t="n"/>
      <c r="B102" s="6" t="n"/>
      <c r="C102" s="5" t="n"/>
      <c r="D102" s="5" t="n"/>
      <c r="E102" s="5" t="n"/>
      <c r="F102" s="6" t="n"/>
      <c r="G102" s="6" t="n"/>
      <c r="H102" s="7">
        <f>IF(AND(F102="",G102=""),"", "Risk of """ &amp; F102 &amp; """ because of """ &amp; SUBSTITUTE(G102, ", ", """ and """) &amp; """")</f>
        <v/>
      </c>
      <c r="I102" s="5" t="n"/>
      <c r="J102" s="5" t="n"/>
      <c r="K102" s="5" t="n"/>
      <c r="L102" s="8">
        <f>IF(E102="Confidential", 4, IF(E102="Sensitive", 3, IF(E102="Private", 2, IF(E102="Public", 1, ""))))</f>
        <v/>
      </c>
      <c r="M102" s="5" t="n"/>
      <c r="N102" s="8">
        <f>IF(OR(L102="",M102=""), "", L102*M102)</f>
        <v/>
      </c>
      <c r="O102" s="8">
        <f>IF(N102="","", IF(N102&gt;6, "High", IF(N102&gt;=4, "Medium", "Low")))</f>
        <v/>
      </c>
      <c r="P102" s="6" t="n"/>
      <c r="Q102" s="5" t="n"/>
      <c r="R102" s="5" t="n"/>
      <c r="S102" s="5" t="n"/>
      <c r="T102" s="6" t="n"/>
      <c r="U102" s="6" t="n"/>
      <c r="V102" s="6" t="n"/>
      <c r="W102" s="6" t="n"/>
      <c r="X102" s="6" t="n"/>
      <c r="Y102" s="6" t="n"/>
    </row>
    <row r="103" ht="22" customHeight="1">
      <c r="A103" s="5" t="n"/>
      <c r="B103" s="6" t="n"/>
      <c r="C103" s="5" t="n"/>
      <c r="D103" s="5" t="n"/>
      <c r="E103" s="5" t="n"/>
      <c r="F103" s="6" t="n"/>
      <c r="G103" s="6" t="n"/>
      <c r="H103" s="7">
        <f>IF(AND(F103="",G103=""),"", "Risk of """ &amp; F103 &amp; """ because of """ &amp; SUBSTITUTE(G103, ", ", """ and """) &amp; """")</f>
        <v/>
      </c>
      <c r="I103" s="5" t="n"/>
      <c r="J103" s="5" t="n"/>
      <c r="K103" s="5" t="n"/>
      <c r="L103" s="8">
        <f>IF(E103="Confidential", 4, IF(E103="Sensitive", 3, IF(E103="Private", 2, IF(E103="Public", 1, ""))))</f>
        <v/>
      </c>
      <c r="M103" s="5" t="n"/>
      <c r="N103" s="8">
        <f>IF(OR(L103="",M103=""), "", L103*M103)</f>
        <v/>
      </c>
      <c r="O103" s="8">
        <f>IF(N103="","", IF(N103&gt;6, "High", IF(N103&gt;=4, "Medium", "Low")))</f>
        <v/>
      </c>
      <c r="P103" s="6" t="n"/>
      <c r="Q103" s="5" t="n"/>
      <c r="R103" s="5" t="n"/>
      <c r="S103" s="5" t="n"/>
      <c r="T103" s="6" t="n"/>
      <c r="U103" s="6" t="n"/>
      <c r="V103" s="6" t="n"/>
      <c r="W103" s="6" t="n"/>
      <c r="X103" s="6" t="n"/>
      <c r="Y103" s="6" t="n"/>
    </row>
    <row r="104" ht="22" customHeight="1">
      <c r="A104" s="5" t="n"/>
      <c r="B104" s="6" t="n"/>
      <c r="C104" s="5" t="n"/>
      <c r="D104" s="5" t="n"/>
      <c r="E104" s="5" t="n"/>
      <c r="F104" s="6" t="n"/>
      <c r="G104" s="6" t="n"/>
      <c r="H104" s="7">
        <f>IF(AND(F104="",G104=""),"", "Risk of """ &amp; F104 &amp; """ because of """ &amp; SUBSTITUTE(G104, ", ", """ and """) &amp; """")</f>
        <v/>
      </c>
      <c r="I104" s="5" t="n"/>
      <c r="J104" s="5" t="n"/>
      <c r="K104" s="5" t="n"/>
      <c r="L104" s="8">
        <f>IF(E104="Confidential", 4, IF(E104="Sensitive", 3, IF(E104="Private", 2, IF(E104="Public", 1, ""))))</f>
        <v/>
      </c>
      <c r="M104" s="5" t="n"/>
      <c r="N104" s="8">
        <f>IF(OR(L104="",M104=""), "", L104*M104)</f>
        <v/>
      </c>
      <c r="O104" s="8">
        <f>IF(N104="","", IF(N104&gt;6, "High", IF(N104&gt;=4, "Medium", "Low")))</f>
        <v/>
      </c>
      <c r="P104" s="6" t="n"/>
      <c r="Q104" s="5" t="n"/>
      <c r="R104" s="5" t="n"/>
      <c r="S104" s="5" t="n"/>
      <c r="T104" s="6" t="n"/>
      <c r="U104" s="6" t="n"/>
      <c r="V104" s="6" t="n"/>
      <c r="W104" s="6" t="n"/>
      <c r="X104" s="6" t="n"/>
      <c r="Y104" s="6" t="n"/>
    </row>
    <row r="105" ht="22" customHeight="1">
      <c r="A105" s="5" t="n"/>
      <c r="B105" s="6" t="n"/>
      <c r="C105" s="5" t="n"/>
      <c r="D105" s="5" t="n"/>
      <c r="E105" s="5" t="n"/>
      <c r="F105" s="6" t="n"/>
      <c r="G105" s="6" t="n"/>
      <c r="H105" s="7">
        <f>IF(AND(F105="",G105=""),"", "Risk of """ &amp; F105 &amp; """ because of """ &amp; SUBSTITUTE(G105, ", ", """ and """) &amp; """")</f>
        <v/>
      </c>
      <c r="I105" s="5" t="n"/>
      <c r="J105" s="5" t="n"/>
      <c r="K105" s="5" t="n"/>
      <c r="L105" s="8">
        <f>IF(E105="Confidential", 4, IF(E105="Sensitive", 3, IF(E105="Private", 2, IF(E105="Public", 1, ""))))</f>
        <v/>
      </c>
      <c r="M105" s="5" t="n"/>
      <c r="N105" s="8">
        <f>IF(OR(L105="",M105=""), "", L105*M105)</f>
        <v/>
      </c>
      <c r="O105" s="8">
        <f>IF(N105="","", IF(N105&gt;6, "High", IF(N105&gt;=4, "Medium", "Low")))</f>
        <v/>
      </c>
      <c r="P105" s="6" t="n"/>
      <c r="Q105" s="5" t="n"/>
      <c r="R105" s="5" t="n"/>
      <c r="S105" s="5" t="n"/>
      <c r="T105" s="6" t="n"/>
      <c r="U105" s="6" t="n"/>
      <c r="V105" s="6" t="n"/>
      <c r="W105" s="6" t="n"/>
      <c r="X105" s="6" t="n"/>
      <c r="Y105" s="6" t="n"/>
    </row>
    <row r="106" ht="22" customHeight="1">
      <c r="A106" s="5" t="n"/>
      <c r="B106" s="6" t="n"/>
      <c r="C106" s="5" t="n"/>
      <c r="D106" s="5" t="n"/>
      <c r="E106" s="5" t="n"/>
      <c r="F106" s="6" t="n"/>
      <c r="G106" s="6" t="n"/>
      <c r="H106" s="7">
        <f>IF(AND(F106="",G106=""),"", "Risk of """ &amp; F106 &amp; """ because of """ &amp; SUBSTITUTE(G106, ", ", """ and """) &amp; """")</f>
        <v/>
      </c>
      <c r="I106" s="5" t="n"/>
      <c r="J106" s="5" t="n"/>
      <c r="K106" s="5" t="n"/>
      <c r="L106" s="8">
        <f>IF(E106="Confidential", 4, IF(E106="Sensitive", 3, IF(E106="Private", 2, IF(E106="Public", 1, ""))))</f>
        <v/>
      </c>
      <c r="M106" s="5" t="n"/>
      <c r="N106" s="8">
        <f>IF(OR(L106="",M106=""), "", L106*M106)</f>
        <v/>
      </c>
      <c r="O106" s="8">
        <f>IF(N106="","", IF(N106&gt;6, "High", IF(N106&gt;=4, "Medium", "Low")))</f>
        <v/>
      </c>
      <c r="P106" s="6" t="n"/>
      <c r="Q106" s="5" t="n"/>
      <c r="R106" s="5" t="n"/>
      <c r="S106" s="5" t="n"/>
      <c r="T106" s="6" t="n"/>
      <c r="U106" s="6" t="n"/>
      <c r="V106" s="6" t="n"/>
      <c r="W106" s="6" t="n"/>
      <c r="X106" s="6" t="n"/>
      <c r="Y106" s="6" t="n"/>
    </row>
    <row r="107" ht="22" customHeight="1">
      <c r="A107" s="5" t="n"/>
      <c r="B107" s="6" t="n"/>
      <c r="C107" s="5" t="n"/>
      <c r="D107" s="5" t="n"/>
      <c r="E107" s="5" t="n"/>
      <c r="F107" s="6" t="n"/>
      <c r="G107" s="6" t="n"/>
      <c r="H107" s="7">
        <f>IF(AND(F107="",G107=""),"", "Risk of """ &amp; F107 &amp; """ because of """ &amp; SUBSTITUTE(G107, ", ", """ and """) &amp; """")</f>
        <v/>
      </c>
      <c r="I107" s="5" t="n"/>
      <c r="J107" s="5" t="n"/>
      <c r="K107" s="5" t="n"/>
      <c r="L107" s="8">
        <f>IF(E107="Confidential", 4, IF(E107="Sensitive", 3, IF(E107="Private", 2, IF(E107="Public", 1, ""))))</f>
        <v/>
      </c>
      <c r="M107" s="5" t="n"/>
      <c r="N107" s="8">
        <f>IF(OR(L107="",M107=""), "", L107*M107)</f>
        <v/>
      </c>
      <c r="O107" s="8">
        <f>IF(N107="","", IF(N107&gt;6, "High", IF(N107&gt;=4, "Medium", "Low")))</f>
        <v/>
      </c>
      <c r="P107" s="6" t="n"/>
      <c r="Q107" s="5" t="n"/>
      <c r="R107" s="5" t="n"/>
      <c r="S107" s="5" t="n"/>
      <c r="T107" s="6" t="n"/>
      <c r="U107" s="6" t="n"/>
      <c r="V107" s="6" t="n"/>
      <c r="W107" s="6" t="n"/>
      <c r="X107" s="6" t="n"/>
      <c r="Y107" s="6" t="n"/>
    </row>
    <row r="108" ht="22" customHeight="1">
      <c r="A108" s="5" t="n"/>
      <c r="B108" s="6" t="n"/>
      <c r="C108" s="5" t="n"/>
      <c r="D108" s="5" t="n"/>
      <c r="E108" s="5" t="n"/>
      <c r="F108" s="6" t="n"/>
      <c r="G108" s="6" t="n"/>
      <c r="H108" s="7">
        <f>IF(AND(F108="",G108=""),"", "Risk of """ &amp; F108 &amp; """ because of """ &amp; SUBSTITUTE(G108, ", ", """ and """) &amp; """")</f>
        <v/>
      </c>
      <c r="I108" s="5" t="n"/>
      <c r="J108" s="5" t="n"/>
      <c r="K108" s="5" t="n"/>
      <c r="L108" s="8">
        <f>IF(E108="Confidential", 4, IF(E108="Sensitive", 3, IF(E108="Private", 2, IF(E108="Public", 1, ""))))</f>
        <v/>
      </c>
      <c r="M108" s="5" t="n"/>
      <c r="N108" s="8">
        <f>IF(OR(L108="",M108=""), "", L108*M108)</f>
        <v/>
      </c>
      <c r="O108" s="8">
        <f>IF(N108="","", IF(N108&gt;6, "High", IF(N108&gt;=4, "Medium", "Low")))</f>
        <v/>
      </c>
      <c r="P108" s="6" t="n"/>
      <c r="Q108" s="5" t="n"/>
      <c r="R108" s="5" t="n"/>
      <c r="S108" s="5" t="n"/>
      <c r="T108" s="6" t="n"/>
      <c r="U108" s="6" t="n"/>
      <c r="V108" s="6" t="n"/>
      <c r="W108" s="6" t="n"/>
      <c r="X108" s="6" t="n"/>
      <c r="Y108" s="6" t="n"/>
    </row>
    <row r="109" ht="22" customHeight="1">
      <c r="A109" s="5" t="n"/>
      <c r="B109" s="6" t="n"/>
      <c r="C109" s="5" t="n"/>
      <c r="D109" s="5" t="n"/>
      <c r="E109" s="5" t="n"/>
      <c r="F109" s="6" t="n"/>
      <c r="G109" s="6" t="n"/>
      <c r="H109" s="7">
        <f>IF(AND(F109="",G109=""),"", "Risk of """ &amp; F109 &amp; """ because of """ &amp; SUBSTITUTE(G109, ", ", """ and """) &amp; """")</f>
        <v/>
      </c>
      <c r="I109" s="5" t="n"/>
      <c r="J109" s="5" t="n"/>
      <c r="K109" s="5" t="n"/>
      <c r="L109" s="8">
        <f>IF(E109="Confidential", 4, IF(E109="Sensitive", 3, IF(E109="Private", 2, IF(E109="Public", 1, ""))))</f>
        <v/>
      </c>
      <c r="M109" s="5" t="n"/>
      <c r="N109" s="8">
        <f>IF(OR(L109="",M109=""), "", L109*M109)</f>
        <v/>
      </c>
      <c r="O109" s="8">
        <f>IF(N109="","", IF(N109&gt;6, "High", IF(N109&gt;=4, "Medium", "Low")))</f>
        <v/>
      </c>
      <c r="P109" s="6" t="n"/>
      <c r="Q109" s="5" t="n"/>
      <c r="R109" s="5" t="n"/>
      <c r="S109" s="5" t="n"/>
      <c r="T109" s="6" t="n"/>
      <c r="U109" s="6" t="n"/>
      <c r="V109" s="6" t="n"/>
      <c r="W109" s="6" t="n"/>
      <c r="X109" s="6" t="n"/>
      <c r="Y109" s="6" t="n"/>
    </row>
    <row r="110" ht="22" customHeight="1">
      <c r="A110" s="5" t="n"/>
      <c r="B110" s="6" t="n"/>
      <c r="C110" s="5" t="n"/>
      <c r="D110" s="5" t="n"/>
      <c r="E110" s="5" t="n"/>
      <c r="F110" s="6" t="n"/>
      <c r="G110" s="6" t="n"/>
      <c r="H110" s="7">
        <f>IF(AND(F110="",G110=""),"", "Risk of """ &amp; F110 &amp; """ because of """ &amp; SUBSTITUTE(G110, ", ", """ and """) &amp; """")</f>
        <v/>
      </c>
      <c r="I110" s="5" t="n"/>
      <c r="J110" s="5" t="n"/>
      <c r="K110" s="5" t="n"/>
      <c r="L110" s="8">
        <f>IF(E110="Confidential", 4, IF(E110="Sensitive", 3, IF(E110="Private", 2, IF(E110="Public", 1, ""))))</f>
        <v/>
      </c>
      <c r="M110" s="5" t="n"/>
      <c r="N110" s="8">
        <f>IF(OR(L110="",M110=""), "", L110*M110)</f>
        <v/>
      </c>
      <c r="O110" s="8">
        <f>IF(N110="","", IF(N110&gt;6, "High", IF(N110&gt;=4, "Medium", "Low")))</f>
        <v/>
      </c>
      <c r="P110" s="6" t="n"/>
      <c r="Q110" s="5" t="n"/>
      <c r="R110" s="5" t="n"/>
      <c r="S110" s="5" t="n"/>
      <c r="T110" s="6" t="n"/>
      <c r="U110" s="6" t="n"/>
      <c r="V110" s="6" t="n"/>
      <c r="W110" s="6" t="n"/>
      <c r="X110" s="6" t="n"/>
      <c r="Y110" s="6" t="n"/>
    </row>
    <row r="111" ht="22" customHeight="1">
      <c r="A111" s="5" t="n"/>
      <c r="B111" s="6" t="n"/>
      <c r="C111" s="5" t="n"/>
      <c r="D111" s="5" t="n"/>
      <c r="E111" s="5" t="n"/>
      <c r="F111" s="6" t="n"/>
      <c r="G111" s="6" t="n"/>
      <c r="H111" s="7">
        <f>IF(AND(F111="",G111=""),"", "Risk of """ &amp; F111 &amp; """ because of """ &amp; SUBSTITUTE(G111, ", ", """ and """) &amp; """")</f>
        <v/>
      </c>
      <c r="I111" s="5" t="n"/>
      <c r="J111" s="5" t="n"/>
      <c r="K111" s="5" t="n"/>
      <c r="L111" s="8">
        <f>IF(E111="Confidential", 4, IF(E111="Sensitive", 3, IF(E111="Private", 2, IF(E111="Public", 1, ""))))</f>
        <v/>
      </c>
      <c r="M111" s="5" t="n"/>
      <c r="N111" s="8">
        <f>IF(OR(L111="",M111=""), "", L111*M111)</f>
        <v/>
      </c>
      <c r="O111" s="8">
        <f>IF(N111="","", IF(N111&gt;6, "High", IF(N111&gt;=4, "Medium", "Low")))</f>
        <v/>
      </c>
      <c r="P111" s="6" t="n"/>
      <c r="Q111" s="5" t="n"/>
      <c r="R111" s="5" t="n"/>
      <c r="S111" s="5" t="n"/>
      <c r="T111" s="6" t="n"/>
      <c r="U111" s="6" t="n"/>
      <c r="V111" s="6" t="n"/>
      <c r="W111" s="6" t="n"/>
      <c r="X111" s="6" t="n"/>
      <c r="Y111" s="6" t="n"/>
    </row>
    <row r="112" ht="22" customHeight="1">
      <c r="A112" s="5" t="n"/>
      <c r="B112" s="6" t="n"/>
      <c r="C112" s="5" t="n"/>
      <c r="D112" s="5" t="n"/>
      <c r="E112" s="5" t="n"/>
      <c r="F112" s="6" t="n"/>
      <c r="G112" s="6" t="n"/>
      <c r="H112" s="7">
        <f>IF(AND(F112="",G112=""),"", "Risk of """ &amp; F112 &amp; """ because of """ &amp; SUBSTITUTE(G112, ", ", """ and """) &amp; """")</f>
        <v/>
      </c>
      <c r="I112" s="5" t="n"/>
      <c r="J112" s="5" t="n"/>
      <c r="K112" s="5" t="n"/>
      <c r="L112" s="8">
        <f>IF(E112="Confidential", 4, IF(E112="Sensitive", 3, IF(E112="Private", 2, IF(E112="Public", 1, ""))))</f>
        <v/>
      </c>
      <c r="M112" s="5" t="n"/>
      <c r="N112" s="8">
        <f>IF(OR(L112="",M112=""), "", L112*M112)</f>
        <v/>
      </c>
      <c r="O112" s="8">
        <f>IF(N112="","", IF(N112&gt;6, "High", IF(N112&gt;=4, "Medium", "Low")))</f>
        <v/>
      </c>
      <c r="P112" s="6" t="n"/>
      <c r="Q112" s="5" t="n"/>
      <c r="R112" s="5" t="n"/>
      <c r="S112" s="5" t="n"/>
      <c r="T112" s="6" t="n"/>
      <c r="U112" s="6" t="n"/>
      <c r="V112" s="6" t="n"/>
      <c r="W112" s="6" t="n"/>
      <c r="X112" s="6" t="n"/>
      <c r="Y112" s="6" t="n"/>
    </row>
    <row r="113" ht="22" customHeight="1">
      <c r="A113" s="5" t="n"/>
      <c r="B113" s="6" t="n"/>
      <c r="C113" s="5" t="n"/>
      <c r="D113" s="5" t="n"/>
      <c r="E113" s="5" t="n"/>
      <c r="F113" s="6" t="n"/>
      <c r="G113" s="6" t="n"/>
      <c r="H113" s="7">
        <f>IF(AND(F113="",G113=""),"", "Risk of """ &amp; F113 &amp; """ because of """ &amp; SUBSTITUTE(G113, ", ", """ and """) &amp; """")</f>
        <v/>
      </c>
      <c r="I113" s="5" t="n"/>
      <c r="J113" s="5" t="n"/>
      <c r="K113" s="5" t="n"/>
      <c r="L113" s="8">
        <f>IF(E113="Confidential", 4, IF(E113="Sensitive", 3, IF(E113="Private", 2, IF(E113="Public", 1, ""))))</f>
        <v/>
      </c>
      <c r="M113" s="5" t="n"/>
      <c r="N113" s="8">
        <f>IF(OR(L113="",M113=""), "", L113*M113)</f>
        <v/>
      </c>
      <c r="O113" s="8">
        <f>IF(N113="","", IF(N113&gt;6, "High", IF(N113&gt;=4, "Medium", "Low")))</f>
        <v/>
      </c>
      <c r="P113" s="6" t="n"/>
      <c r="Q113" s="5" t="n"/>
      <c r="R113" s="5" t="n"/>
      <c r="S113" s="5" t="n"/>
      <c r="T113" s="6" t="n"/>
      <c r="U113" s="6" t="n"/>
      <c r="V113" s="6" t="n"/>
      <c r="W113" s="6" t="n"/>
      <c r="X113" s="6" t="n"/>
      <c r="Y113" s="6" t="n"/>
    </row>
    <row r="114" ht="22" customHeight="1">
      <c r="A114" s="5" t="n"/>
      <c r="B114" s="6" t="n"/>
      <c r="C114" s="5" t="n"/>
      <c r="D114" s="5" t="n"/>
      <c r="E114" s="5" t="n"/>
      <c r="F114" s="6" t="n"/>
      <c r="G114" s="6" t="n"/>
      <c r="H114" s="7">
        <f>IF(AND(F114="",G114=""),"", "Risk of """ &amp; F114 &amp; """ because of """ &amp; SUBSTITUTE(G114, ", ", """ and """) &amp; """")</f>
        <v/>
      </c>
      <c r="I114" s="5" t="n"/>
      <c r="J114" s="5" t="n"/>
      <c r="K114" s="5" t="n"/>
      <c r="L114" s="8">
        <f>IF(E114="Confidential", 4, IF(E114="Sensitive", 3, IF(E114="Private", 2, IF(E114="Public", 1, ""))))</f>
        <v/>
      </c>
      <c r="M114" s="5" t="n"/>
      <c r="N114" s="8">
        <f>IF(OR(L114="",M114=""), "", L114*M114)</f>
        <v/>
      </c>
      <c r="O114" s="8">
        <f>IF(N114="","", IF(N114&gt;6, "High", IF(N114&gt;=4, "Medium", "Low")))</f>
        <v/>
      </c>
      <c r="P114" s="6" t="n"/>
      <c r="Q114" s="5" t="n"/>
      <c r="R114" s="5" t="n"/>
      <c r="S114" s="5" t="n"/>
      <c r="T114" s="6" t="n"/>
      <c r="U114" s="6" t="n"/>
      <c r="V114" s="6" t="n"/>
      <c r="W114" s="6" t="n"/>
      <c r="X114" s="6" t="n"/>
      <c r="Y114" s="6" t="n"/>
    </row>
    <row r="115" ht="22" customHeight="1">
      <c r="A115" s="5" t="n"/>
      <c r="B115" s="6" t="n"/>
      <c r="C115" s="5" t="n"/>
      <c r="D115" s="5" t="n"/>
      <c r="E115" s="5" t="n"/>
      <c r="F115" s="6" t="n"/>
      <c r="G115" s="6" t="n"/>
      <c r="H115" s="7">
        <f>IF(AND(F115="",G115=""),"", "Risk of """ &amp; F115 &amp; """ because of """ &amp; SUBSTITUTE(G115, ", ", """ and """) &amp; """")</f>
        <v/>
      </c>
      <c r="I115" s="5" t="n"/>
      <c r="J115" s="5" t="n"/>
      <c r="K115" s="5" t="n"/>
      <c r="L115" s="8">
        <f>IF(E115="Confidential", 4, IF(E115="Sensitive", 3, IF(E115="Private", 2, IF(E115="Public", 1, ""))))</f>
        <v/>
      </c>
      <c r="M115" s="5" t="n"/>
      <c r="N115" s="8">
        <f>IF(OR(L115="",M115=""), "", L115*M115)</f>
        <v/>
      </c>
      <c r="O115" s="8">
        <f>IF(N115="","", IF(N115&gt;6, "High", IF(N115&gt;=4, "Medium", "Low")))</f>
        <v/>
      </c>
      <c r="P115" s="6" t="n"/>
      <c r="Q115" s="5" t="n"/>
      <c r="R115" s="5" t="n"/>
      <c r="S115" s="5" t="n"/>
      <c r="T115" s="6" t="n"/>
      <c r="U115" s="6" t="n"/>
      <c r="V115" s="6" t="n"/>
      <c r="W115" s="6" t="n"/>
      <c r="X115" s="6" t="n"/>
      <c r="Y115" s="6" t="n"/>
    </row>
    <row r="116" ht="22" customHeight="1">
      <c r="A116" s="5" t="n"/>
      <c r="B116" s="6" t="n"/>
      <c r="C116" s="5" t="n"/>
      <c r="D116" s="5" t="n"/>
      <c r="E116" s="5" t="n"/>
      <c r="F116" s="6" t="n"/>
      <c r="G116" s="6" t="n"/>
      <c r="H116" s="7">
        <f>IF(AND(F116="",G116=""),"", "Risk of """ &amp; F116 &amp; """ because of """ &amp; SUBSTITUTE(G116, ", ", """ and """) &amp; """")</f>
        <v/>
      </c>
      <c r="I116" s="5" t="n"/>
      <c r="J116" s="5" t="n"/>
      <c r="K116" s="5" t="n"/>
      <c r="L116" s="8">
        <f>IF(E116="Confidential", 4, IF(E116="Sensitive", 3, IF(E116="Private", 2, IF(E116="Public", 1, ""))))</f>
        <v/>
      </c>
      <c r="M116" s="5" t="n"/>
      <c r="N116" s="8">
        <f>IF(OR(L116="",M116=""), "", L116*M116)</f>
        <v/>
      </c>
      <c r="O116" s="8">
        <f>IF(N116="","", IF(N116&gt;6, "High", IF(N116&gt;=4, "Medium", "Low")))</f>
        <v/>
      </c>
      <c r="P116" s="6" t="n"/>
      <c r="Q116" s="5" t="n"/>
      <c r="R116" s="5" t="n"/>
      <c r="S116" s="5" t="n"/>
      <c r="T116" s="6" t="n"/>
      <c r="U116" s="6" t="n"/>
      <c r="V116" s="6" t="n"/>
      <c r="W116" s="6" t="n"/>
      <c r="X116" s="6" t="n"/>
      <c r="Y116" s="6" t="n"/>
    </row>
    <row r="117" ht="22" customHeight="1">
      <c r="A117" s="5" t="n"/>
      <c r="B117" s="6" t="n"/>
      <c r="C117" s="5" t="n"/>
      <c r="D117" s="5" t="n"/>
      <c r="E117" s="5" t="n"/>
      <c r="F117" s="6" t="n"/>
      <c r="G117" s="6" t="n"/>
      <c r="H117" s="7">
        <f>IF(AND(F117="",G117=""),"", "Risk of """ &amp; F117 &amp; """ because of """ &amp; SUBSTITUTE(G117, ", ", """ and """) &amp; """")</f>
        <v/>
      </c>
      <c r="I117" s="5" t="n"/>
      <c r="J117" s="5" t="n"/>
      <c r="K117" s="5" t="n"/>
      <c r="L117" s="8">
        <f>IF(E117="Confidential", 4, IF(E117="Sensitive", 3, IF(E117="Private", 2, IF(E117="Public", 1, ""))))</f>
        <v/>
      </c>
      <c r="M117" s="5" t="n"/>
      <c r="N117" s="8">
        <f>IF(OR(L117="",M117=""), "", L117*M117)</f>
        <v/>
      </c>
      <c r="O117" s="8">
        <f>IF(N117="","", IF(N117&gt;6, "High", IF(N117&gt;=4, "Medium", "Low")))</f>
        <v/>
      </c>
      <c r="P117" s="6" t="n"/>
      <c r="Q117" s="5" t="n"/>
      <c r="R117" s="5" t="n"/>
      <c r="S117" s="5" t="n"/>
      <c r="T117" s="6" t="n"/>
      <c r="U117" s="6" t="n"/>
      <c r="V117" s="6" t="n"/>
      <c r="W117" s="6" t="n"/>
      <c r="X117" s="6" t="n"/>
      <c r="Y117" s="6" t="n"/>
    </row>
    <row r="118" ht="22" customHeight="1">
      <c r="A118" s="5" t="n"/>
      <c r="B118" s="6" t="n"/>
      <c r="C118" s="5" t="n"/>
      <c r="D118" s="5" t="n"/>
      <c r="E118" s="5" t="n"/>
      <c r="F118" s="6" t="n"/>
      <c r="G118" s="6" t="n"/>
      <c r="H118" s="7">
        <f>IF(AND(F118="",G118=""),"", "Risk of """ &amp; F118 &amp; """ because of """ &amp; SUBSTITUTE(G118, ", ", """ and """) &amp; """")</f>
        <v/>
      </c>
      <c r="I118" s="5" t="n"/>
      <c r="J118" s="5" t="n"/>
      <c r="K118" s="5" t="n"/>
      <c r="L118" s="8">
        <f>IF(E118="Confidential", 4, IF(E118="Sensitive", 3, IF(E118="Private", 2, IF(E118="Public", 1, ""))))</f>
        <v/>
      </c>
      <c r="M118" s="5" t="n"/>
      <c r="N118" s="8">
        <f>IF(OR(L118="",M118=""), "", L118*M118)</f>
        <v/>
      </c>
      <c r="O118" s="8">
        <f>IF(N118="","", IF(N118&gt;6, "High", IF(N118&gt;=4, "Medium", "Low")))</f>
        <v/>
      </c>
      <c r="P118" s="6" t="n"/>
      <c r="Q118" s="5" t="n"/>
      <c r="R118" s="5" t="n"/>
      <c r="S118" s="5" t="n"/>
      <c r="T118" s="6" t="n"/>
      <c r="U118" s="6" t="n"/>
      <c r="V118" s="6" t="n"/>
      <c r="W118" s="6" t="n"/>
      <c r="X118" s="6" t="n"/>
      <c r="Y118" s="6" t="n"/>
    </row>
    <row r="119" ht="22" customHeight="1">
      <c r="A119" s="5" t="n"/>
      <c r="B119" s="6" t="n"/>
      <c r="C119" s="5" t="n"/>
      <c r="D119" s="5" t="n"/>
      <c r="E119" s="5" t="n"/>
      <c r="F119" s="6" t="n"/>
      <c r="G119" s="6" t="n"/>
      <c r="H119" s="7">
        <f>IF(AND(F119="",G119=""),"", "Risk of """ &amp; F119 &amp; """ because of """ &amp; SUBSTITUTE(G119, ", ", """ and """) &amp; """")</f>
        <v/>
      </c>
      <c r="I119" s="5" t="n"/>
      <c r="J119" s="5" t="n"/>
      <c r="K119" s="5" t="n"/>
      <c r="L119" s="8">
        <f>IF(E119="Confidential", 4, IF(E119="Sensitive", 3, IF(E119="Private", 2, IF(E119="Public", 1, ""))))</f>
        <v/>
      </c>
      <c r="M119" s="5" t="n"/>
      <c r="N119" s="8">
        <f>IF(OR(L119="",M119=""), "", L119*M119)</f>
        <v/>
      </c>
      <c r="O119" s="8">
        <f>IF(N119="","", IF(N119&gt;6, "High", IF(N119&gt;=4, "Medium", "Low")))</f>
        <v/>
      </c>
      <c r="P119" s="6" t="n"/>
      <c r="Q119" s="5" t="n"/>
      <c r="R119" s="5" t="n"/>
      <c r="S119" s="5" t="n"/>
      <c r="T119" s="6" t="n"/>
      <c r="U119" s="6" t="n"/>
      <c r="V119" s="6" t="n"/>
      <c r="W119" s="6" t="n"/>
      <c r="X119" s="6" t="n"/>
      <c r="Y119" s="6" t="n"/>
    </row>
    <row r="120" ht="22" customHeight="1">
      <c r="A120" s="5" t="n"/>
      <c r="B120" s="6" t="n"/>
      <c r="C120" s="5" t="n"/>
      <c r="D120" s="5" t="n"/>
      <c r="E120" s="5" t="n"/>
      <c r="F120" s="6" t="n"/>
      <c r="G120" s="6" t="n"/>
      <c r="H120" s="7">
        <f>IF(AND(F120="",G120=""),"", "Risk of """ &amp; F120 &amp; """ because of """ &amp; SUBSTITUTE(G120, ", ", """ and """) &amp; """")</f>
        <v/>
      </c>
      <c r="I120" s="5" t="n"/>
      <c r="J120" s="5" t="n"/>
      <c r="K120" s="5" t="n"/>
      <c r="L120" s="8">
        <f>IF(E120="Confidential", 4, IF(E120="Sensitive", 3, IF(E120="Private", 2, IF(E120="Public", 1, ""))))</f>
        <v/>
      </c>
      <c r="M120" s="5" t="n"/>
      <c r="N120" s="8">
        <f>IF(OR(L120="",M120=""), "", L120*M120)</f>
        <v/>
      </c>
      <c r="O120" s="8">
        <f>IF(N120="","", IF(N120&gt;6, "High", IF(N120&gt;=4, "Medium", "Low")))</f>
        <v/>
      </c>
      <c r="P120" s="6" t="n"/>
      <c r="Q120" s="5" t="n"/>
      <c r="R120" s="5" t="n"/>
      <c r="S120" s="5" t="n"/>
      <c r="T120" s="6" t="n"/>
      <c r="U120" s="6" t="n"/>
      <c r="V120" s="6" t="n"/>
      <c r="W120" s="6" t="n"/>
      <c r="X120" s="6" t="n"/>
      <c r="Y120" s="6" t="n"/>
    </row>
    <row r="121" ht="22" customHeight="1">
      <c r="A121" s="5" t="n"/>
      <c r="B121" s="6" t="n"/>
      <c r="C121" s="5" t="n"/>
      <c r="D121" s="5" t="n"/>
      <c r="E121" s="5" t="n"/>
      <c r="F121" s="6" t="n"/>
      <c r="G121" s="6" t="n"/>
      <c r="H121" s="7">
        <f>IF(AND(F121="",G121=""),"", "Risk of """ &amp; F121 &amp; """ because of """ &amp; SUBSTITUTE(G121, ", ", """ and """) &amp; """")</f>
        <v/>
      </c>
      <c r="I121" s="5" t="n"/>
      <c r="J121" s="5" t="n"/>
      <c r="K121" s="5" t="n"/>
      <c r="L121" s="8">
        <f>IF(E121="Confidential", 4, IF(E121="Sensitive", 3, IF(E121="Private", 2, IF(E121="Public", 1, ""))))</f>
        <v/>
      </c>
      <c r="M121" s="5" t="n"/>
      <c r="N121" s="8">
        <f>IF(OR(L121="",M121=""), "", L121*M121)</f>
        <v/>
      </c>
      <c r="O121" s="8">
        <f>IF(N121="","", IF(N121&gt;6, "High", IF(N121&gt;=4, "Medium", "Low")))</f>
        <v/>
      </c>
      <c r="P121" s="6" t="n"/>
      <c r="Q121" s="5" t="n"/>
      <c r="R121" s="5" t="n"/>
      <c r="S121" s="5" t="n"/>
      <c r="T121" s="6" t="n"/>
      <c r="U121" s="6" t="n"/>
      <c r="V121" s="6" t="n"/>
      <c r="W121" s="6" t="n"/>
      <c r="X121" s="6" t="n"/>
      <c r="Y121" s="6" t="n"/>
    </row>
    <row r="122" ht="22" customHeight="1">
      <c r="A122" s="5" t="n"/>
      <c r="B122" s="6" t="n"/>
      <c r="C122" s="5" t="n"/>
      <c r="D122" s="5" t="n"/>
      <c r="E122" s="5" t="n"/>
      <c r="F122" s="6" t="n"/>
      <c r="G122" s="6" t="n"/>
      <c r="H122" s="7">
        <f>IF(AND(F122="",G122=""),"", "Risk of """ &amp; F122 &amp; """ because of """ &amp; SUBSTITUTE(G122, ", ", """ and """) &amp; """")</f>
        <v/>
      </c>
      <c r="I122" s="5" t="n"/>
      <c r="J122" s="5" t="n"/>
      <c r="K122" s="5" t="n"/>
      <c r="L122" s="8">
        <f>IF(E122="Confidential", 4, IF(E122="Sensitive", 3, IF(E122="Private", 2, IF(E122="Public", 1, ""))))</f>
        <v/>
      </c>
      <c r="M122" s="5" t="n"/>
      <c r="N122" s="8">
        <f>IF(OR(L122="",M122=""), "", L122*M122)</f>
        <v/>
      </c>
      <c r="O122" s="8">
        <f>IF(N122="","", IF(N122&gt;6, "High", IF(N122&gt;=4, "Medium", "Low")))</f>
        <v/>
      </c>
      <c r="P122" s="6" t="n"/>
      <c r="Q122" s="5" t="n"/>
      <c r="R122" s="5" t="n"/>
      <c r="S122" s="5" t="n"/>
      <c r="T122" s="6" t="n"/>
      <c r="U122" s="6" t="n"/>
      <c r="V122" s="6" t="n"/>
      <c r="W122" s="6" t="n"/>
      <c r="X122" s="6" t="n"/>
      <c r="Y122" s="6" t="n"/>
    </row>
    <row r="123" ht="22" customHeight="1">
      <c r="A123" s="5" t="n"/>
      <c r="B123" s="6" t="n"/>
      <c r="C123" s="5" t="n"/>
      <c r="D123" s="5" t="n"/>
      <c r="E123" s="5" t="n"/>
      <c r="F123" s="6" t="n"/>
      <c r="G123" s="6" t="n"/>
      <c r="H123" s="7">
        <f>IF(AND(F123="",G123=""),"", "Risk of """ &amp; F123 &amp; """ because of """ &amp; SUBSTITUTE(G123, ", ", """ and """) &amp; """")</f>
        <v/>
      </c>
      <c r="I123" s="5" t="n"/>
      <c r="J123" s="5" t="n"/>
      <c r="K123" s="5" t="n"/>
      <c r="L123" s="8">
        <f>IF(E123="Confidential", 4, IF(E123="Sensitive", 3, IF(E123="Private", 2, IF(E123="Public", 1, ""))))</f>
        <v/>
      </c>
      <c r="M123" s="5" t="n"/>
      <c r="N123" s="8">
        <f>IF(OR(L123="",M123=""), "", L123*M123)</f>
        <v/>
      </c>
      <c r="O123" s="8">
        <f>IF(N123="","", IF(N123&gt;6, "High", IF(N123&gt;=4, "Medium", "Low")))</f>
        <v/>
      </c>
      <c r="P123" s="6" t="n"/>
      <c r="Q123" s="5" t="n"/>
      <c r="R123" s="5" t="n"/>
      <c r="S123" s="5" t="n"/>
      <c r="T123" s="6" t="n"/>
      <c r="U123" s="6" t="n"/>
      <c r="V123" s="6" t="n"/>
      <c r="W123" s="6" t="n"/>
      <c r="X123" s="6" t="n"/>
      <c r="Y123" s="6" t="n"/>
    </row>
    <row r="124" ht="22" customHeight="1">
      <c r="A124" s="5" t="n"/>
      <c r="B124" s="6" t="n"/>
      <c r="C124" s="5" t="n"/>
      <c r="D124" s="5" t="n"/>
      <c r="E124" s="5" t="n"/>
      <c r="F124" s="6" t="n"/>
      <c r="G124" s="6" t="n"/>
      <c r="H124" s="7">
        <f>IF(AND(F124="",G124=""),"", "Risk of """ &amp; F124 &amp; """ because of """ &amp; SUBSTITUTE(G124, ", ", """ and """) &amp; """")</f>
        <v/>
      </c>
      <c r="I124" s="5" t="n"/>
      <c r="J124" s="5" t="n"/>
      <c r="K124" s="5" t="n"/>
      <c r="L124" s="8">
        <f>IF(E124="Confidential", 4, IF(E124="Sensitive", 3, IF(E124="Private", 2, IF(E124="Public", 1, ""))))</f>
        <v/>
      </c>
      <c r="M124" s="5" t="n"/>
      <c r="N124" s="8">
        <f>IF(OR(L124="",M124=""), "", L124*M124)</f>
        <v/>
      </c>
      <c r="O124" s="8">
        <f>IF(N124="","", IF(N124&gt;6, "High", IF(N124&gt;=4, "Medium", "Low")))</f>
        <v/>
      </c>
      <c r="P124" s="6" t="n"/>
      <c r="Q124" s="5" t="n"/>
      <c r="R124" s="5" t="n"/>
      <c r="S124" s="5" t="n"/>
      <c r="T124" s="6" t="n"/>
      <c r="U124" s="6" t="n"/>
      <c r="V124" s="6" t="n"/>
      <c r="W124" s="6" t="n"/>
      <c r="X124" s="6" t="n"/>
      <c r="Y124" s="6" t="n"/>
    </row>
    <row r="125" ht="22" customHeight="1">
      <c r="A125" s="5" t="n"/>
      <c r="B125" s="6" t="n"/>
      <c r="C125" s="5" t="n"/>
      <c r="D125" s="5" t="n"/>
      <c r="E125" s="5" t="n"/>
      <c r="F125" s="6" t="n"/>
      <c r="G125" s="6" t="n"/>
      <c r="H125" s="7">
        <f>IF(AND(F125="",G125=""),"", "Risk of """ &amp; F125 &amp; """ because of """ &amp; SUBSTITUTE(G125, ", ", """ and """) &amp; """")</f>
        <v/>
      </c>
      <c r="I125" s="5" t="n"/>
      <c r="J125" s="5" t="n"/>
      <c r="K125" s="5" t="n"/>
      <c r="L125" s="8">
        <f>IF(E125="Confidential", 4, IF(E125="Sensitive", 3, IF(E125="Private", 2, IF(E125="Public", 1, ""))))</f>
        <v/>
      </c>
      <c r="M125" s="5" t="n"/>
      <c r="N125" s="8">
        <f>IF(OR(L125="",M125=""), "", L125*M125)</f>
        <v/>
      </c>
      <c r="O125" s="8">
        <f>IF(N125="","", IF(N125&gt;6, "High", IF(N125&gt;=4, "Medium", "Low")))</f>
        <v/>
      </c>
      <c r="P125" s="6" t="n"/>
      <c r="Q125" s="5" t="n"/>
      <c r="R125" s="5" t="n"/>
      <c r="S125" s="5" t="n"/>
      <c r="T125" s="6" t="n"/>
      <c r="U125" s="6" t="n"/>
      <c r="V125" s="6" t="n"/>
      <c r="W125" s="6" t="n"/>
      <c r="X125" s="6" t="n"/>
      <c r="Y125" s="6" t="n"/>
    </row>
    <row r="126" ht="22" customHeight="1">
      <c r="A126" s="5" t="n"/>
      <c r="B126" s="6" t="n"/>
      <c r="C126" s="5" t="n"/>
      <c r="D126" s="5" t="n"/>
      <c r="E126" s="5" t="n"/>
      <c r="F126" s="6" t="n"/>
      <c r="G126" s="6" t="n"/>
      <c r="H126" s="7">
        <f>IF(AND(F126="",G126=""),"", "Risk of """ &amp; F126 &amp; """ because of """ &amp; SUBSTITUTE(G126, ", ", """ and """) &amp; """")</f>
        <v/>
      </c>
      <c r="I126" s="5" t="n"/>
      <c r="J126" s="5" t="n"/>
      <c r="K126" s="5" t="n"/>
      <c r="L126" s="8">
        <f>IF(E126="Confidential", 4, IF(E126="Sensitive", 3, IF(E126="Private", 2, IF(E126="Public", 1, ""))))</f>
        <v/>
      </c>
      <c r="M126" s="5" t="n"/>
      <c r="N126" s="8">
        <f>IF(OR(L126="",M126=""), "", L126*M126)</f>
        <v/>
      </c>
      <c r="O126" s="8">
        <f>IF(N126="","", IF(N126&gt;6, "High", IF(N126&gt;=4, "Medium", "Low")))</f>
        <v/>
      </c>
      <c r="P126" s="6" t="n"/>
      <c r="Q126" s="5" t="n"/>
      <c r="R126" s="5" t="n"/>
      <c r="S126" s="5" t="n"/>
      <c r="T126" s="6" t="n"/>
      <c r="U126" s="6" t="n"/>
      <c r="V126" s="6" t="n"/>
      <c r="W126" s="6" t="n"/>
      <c r="X126" s="6" t="n"/>
      <c r="Y126" s="6" t="n"/>
    </row>
    <row r="127" ht="22" customHeight="1">
      <c r="A127" s="5" t="n"/>
      <c r="B127" s="6" t="n"/>
      <c r="C127" s="5" t="n"/>
      <c r="D127" s="5" t="n"/>
      <c r="E127" s="5" t="n"/>
      <c r="F127" s="6" t="n"/>
      <c r="G127" s="6" t="n"/>
      <c r="H127" s="7">
        <f>IF(AND(F127="",G127=""),"", "Risk of """ &amp; F127 &amp; """ because of """ &amp; SUBSTITUTE(G127, ", ", """ and """) &amp; """")</f>
        <v/>
      </c>
      <c r="I127" s="5" t="n"/>
      <c r="J127" s="5" t="n"/>
      <c r="K127" s="5" t="n"/>
      <c r="L127" s="8">
        <f>IF(E127="Confidential", 4, IF(E127="Sensitive", 3, IF(E127="Private", 2, IF(E127="Public", 1, ""))))</f>
        <v/>
      </c>
      <c r="M127" s="5" t="n"/>
      <c r="N127" s="8">
        <f>IF(OR(L127="",M127=""), "", L127*M127)</f>
        <v/>
      </c>
      <c r="O127" s="8">
        <f>IF(N127="","", IF(N127&gt;6, "High", IF(N127&gt;=4, "Medium", "Low")))</f>
        <v/>
      </c>
      <c r="P127" s="6" t="n"/>
      <c r="Q127" s="5" t="n"/>
      <c r="R127" s="5" t="n"/>
      <c r="S127" s="5" t="n"/>
      <c r="T127" s="6" t="n"/>
      <c r="U127" s="6" t="n"/>
      <c r="V127" s="6" t="n"/>
      <c r="W127" s="6" t="n"/>
      <c r="X127" s="6" t="n"/>
      <c r="Y127" s="6" t="n"/>
    </row>
    <row r="128" ht="22" customHeight="1">
      <c r="A128" s="5" t="n"/>
      <c r="B128" s="6" t="n"/>
      <c r="C128" s="5" t="n"/>
      <c r="D128" s="5" t="n"/>
      <c r="E128" s="5" t="n"/>
      <c r="F128" s="6" t="n"/>
      <c r="G128" s="6" t="n"/>
      <c r="H128" s="7">
        <f>IF(AND(F128="",G128=""),"", "Risk of """ &amp; F128 &amp; """ because of """ &amp; SUBSTITUTE(G128, ", ", """ and """) &amp; """")</f>
        <v/>
      </c>
      <c r="I128" s="5" t="n"/>
      <c r="J128" s="5" t="n"/>
      <c r="K128" s="5" t="n"/>
      <c r="L128" s="8">
        <f>IF(E128="Confidential", 4, IF(E128="Sensitive", 3, IF(E128="Private", 2, IF(E128="Public", 1, ""))))</f>
        <v/>
      </c>
      <c r="M128" s="5" t="n"/>
      <c r="N128" s="8">
        <f>IF(OR(L128="",M128=""), "", L128*M128)</f>
        <v/>
      </c>
      <c r="O128" s="8">
        <f>IF(N128="","", IF(N128&gt;6, "High", IF(N128&gt;=4, "Medium", "Low")))</f>
        <v/>
      </c>
      <c r="P128" s="6" t="n"/>
      <c r="Q128" s="5" t="n"/>
      <c r="R128" s="5" t="n"/>
      <c r="S128" s="5" t="n"/>
      <c r="T128" s="6" t="n"/>
      <c r="U128" s="6" t="n"/>
      <c r="V128" s="6" t="n"/>
      <c r="W128" s="6" t="n"/>
      <c r="X128" s="6" t="n"/>
      <c r="Y128" s="6" t="n"/>
    </row>
    <row r="129" ht="22" customHeight="1">
      <c r="A129" s="5" t="n"/>
      <c r="B129" s="6" t="n"/>
      <c r="C129" s="5" t="n"/>
      <c r="D129" s="5" t="n"/>
      <c r="E129" s="5" t="n"/>
      <c r="F129" s="6" t="n"/>
      <c r="G129" s="6" t="n"/>
      <c r="H129" s="7">
        <f>IF(AND(F129="",G129=""),"", "Risk of """ &amp; F129 &amp; """ because of """ &amp; SUBSTITUTE(G129, ", ", """ and """) &amp; """")</f>
        <v/>
      </c>
      <c r="I129" s="5" t="n"/>
      <c r="J129" s="5" t="n"/>
      <c r="K129" s="5" t="n"/>
      <c r="L129" s="8">
        <f>IF(E129="Confidential", 4, IF(E129="Sensitive", 3, IF(E129="Private", 2, IF(E129="Public", 1, ""))))</f>
        <v/>
      </c>
      <c r="M129" s="5" t="n"/>
      <c r="N129" s="8">
        <f>IF(OR(L129="",M129=""), "", L129*M129)</f>
        <v/>
      </c>
      <c r="O129" s="8">
        <f>IF(N129="","", IF(N129&gt;6, "High", IF(N129&gt;=4, "Medium", "Low")))</f>
        <v/>
      </c>
      <c r="P129" s="6" t="n"/>
      <c r="Q129" s="5" t="n"/>
      <c r="R129" s="5" t="n"/>
      <c r="S129" s="5" t="n"/>
      <c r="T129" s="6" t="n"/>
      <c r="U129" s="6" t="n"/>
      <c r="V129" s="6" t="n"/>
      <c r="W129" s="6" t="n"/>
      <c r="X129" s="6" t="n"/>
      <c r="Y129" s="6" t="n"/>
    </row>
    <row r="130" ht="22" customHeight="1">
      <c r="A130" s="5" t="n"/>
      <c r="B130" s="6" t="n"/>
      <c r="C130" s="5" t="n"/>
      <c r="D130" s="5" t="n"/>
      <c r="E130" s="5" t="n"/>
      <c r="F130" s="6" t="n"/>
      <c r="G130" s="6" t="n"/>
      <c r="H130" s="7">
        <f>IF(AND(F130="",G130=""),"", "Risk of """ &amp; F130 &amp; """ because of """ &amp; SUBSTITUTE(G130, ", ", """ and """) &amp; """")</f>
        <v/>
      </c>
      <c r="I130" s="5" t="n"/>
      <c r="J130" s="5" t="n"/>
      <c r="K130" s="5" t="n"/>
      <c r="L130" s="8">
        <f>IF(E130="Confidential", 4, IF(E130="Sensitive", 3, IF(E130="Private", 2, IF(E130="Public", 1, ""))))</f>
        <v/>
      </c>
      <c r="M130" s="5" t="n"/>
      <c r="N130" s="8">
        <f>IF(OR(L130="",M130=""), "", L130*M130)</f>
        <v/>
      </c>
      <c r="O130" s="8">
        <f>IF(N130="","", IF(N130&gt;6, "High", IF(N130&gt;=4, "Medium", "Low")))</f>
        <v/>
      </c>
      <c r="P130" s="6" t="n"/>
      <c r="Q130" s="5" t="n"/>
      <c r="R130" s="5" t="n"/>
      <c r="S130" s="5" t="n"/>
      <c r="T130" s="6" t="n"/>
      <c r="U130" s="6" t="n"/>
      <c r="V130" s="6" t="n"/>
      <c r="W130" s="6" t="n"/>
      <c r="X130" s="6" t="n"/>
      <c r="Y130" s="6" t="n"/>
    </row>
    <row r="131" ht="22" customHeight="1">
      <c r="A131" s="5" t="n"/>
      <c r="B131" s="6" t="n"/>
      <c r="C131" s="5" t="n"/>
      <c r="D131" s="5" t="n"/>
      <c r="E131" s="5" t="n"/>
      <c r="F131" s="6" t="n"/>
      <c r="G131" s="6" t="n"/>
      <c r="H131" s="7">
        <f>IF(AND(F131="",G131=""),"", "Risk of """ &amp; F131 &amp; """ because of """ &amp; SUBSTITUTE(G131, ", ", """ and """) &amp; """")</f>
        <v/>
      </c>
      <c r="I131" s="5" t="n"/>
      <c r="J131" s="5" t="n"/>
      <c r="K131" s="5" t="n"/>
      <c r="L131" s="8">
        <f>IF(E131="Confidential", 4, IF(E131="Sensitive", 3, IF(E131="Private", 2, IF(E131="Public", 1, ""))))</f>
        <v/>
      </c>
      <c r="M131" s="5" t="n"/>
      <c r="N131" s="8">
        <f>IF(OR(L131="",M131=""), "", L131*M131)</f>
        <v/>
      </c>
      <c r="O131" s="8">
        <f>IF(N131="","", IF(N131&gt;6, "High", IF(N131&gt;=4, "Medium", "Low")))</f>
        <v/>
      </c>
      <c r="P131" s="6" t="n"/>
      <c r="Q131" s="5" t="n"/>
      <c r="R131" s="5" t="n"/>
      <c r="S131" s="5" t="n"/>
      <c r="T131" s="6" t="n"/>
      <c r="U131" s="6" t="n"/>
      <c r="V131" s="6" t="n"/>
      <c r="W131" s="6" t="n"/>
      <c r="X131" s="6" t="n"/>
      <c r="Y131" s="6" t="n"/>
    </row>
    <row r="132" ht="22" customHeight="1">
      <c r="A132" s="5" t="n"/>
      <c r="B132" s="6" t="n"/>
      <c r="C132" s="5" t="n"/>
      <c r="D132" s="5" t="n"/>
      <c r="E132" s="5" t="n"/>
      <c r="F132" s="6" t="n"/>
      <c r="G132" s="6" t="n"/>
      <c r="H132" s="7">
        <f>IF(AND(F132="",G132=""),"", "Risk of """ &amp; F132 &amp; """ because of """ &amp; SUBSTITUTE(G132, ", ", """ and """) &amp; """")</f>
        <v/>
      </c>
      <c r="I132" s="5" t="n"/>
      <c r="J132" s="5" t="n"/>
      <c r="K132" s="5" t="n"/>
      <c r="L132" s="8">
        <f>IF(E132="Confidential", 4, IF(E132="Sensitive", 3, IF(E132="Private", 2, IF(E132="Public", 1, ""))))</f>
        <v/>
      </c>
      <c r="M132" s="5" t="n"/>
      <c r="N132" s="8">
        <f>IF(OR(L132="",M132=""), "", L132*M132)</f>
        <v/>
      </c>
      <c r="O132" s="8">
        <f>IF(N132="","", IF(N132&gt;6, "High", IF(N132&gt;=4, "Medium", "Low")))</f>
        <v/>
      </c>
      <c r="P132" s="6" t="n"/>
      <c r="Q132" s="5" t="n"/>
      <c r="R132" s="5" t="n"/>
      <c r="S132" s="5" t="n"/>
      <c r="T132" s="6" t="n"/>
      <c r="U132" s="6" t="n"/>
      <c r="V132" s="6" t="n"/>
      <c r="W132" s="6" t="n"/>
      <c r="X132" s="6" t="n"/>
      <c r="Y132" s="6" t="n"/>
    </row>
    <row r="133" ht="22" customHeight="1">
      <c r="A133" s="5" t="n"/>
      <c r="B133" s="6" t="n"/>
      <c r="C133" s="5" t="n"/>
      <c r="D133" s="5" t="n"/>
      <c r="E133" s="5" t="n"/>
      <c r="F133" s="6" t="n"/>
      <c r="G133" s="6" t="n"/>
      <c r="H133" s="7">
        <f>IF(AND(F133="",G133=""),"", "Risk of """ &amp; F133 &amp; """ because of """ &amp; SUBSTITUTE(G133, ", ", """ and """) &amp; """")</f>
        <v/>
      </c>
      <c r="I133" s="5" t="n"/>
      <c r="J133" s="5" t="n"/>
      <c r="K133" s="5" t="n"/>
      <c r="L133" s="8">
        <f>IF(E133="Confidential", 4, IF(E133="Sensitive", 3, IF(E133="Private", 2, IF(E133="Public", 1, ""))))</f>
        <v/>
      </c>
      <c r="M133" s="5" t="n"/>
      <c r="N133" s="8">
        <f>IF(OR(L133="",M133=""), "", L133*M133)</f>
        <v/>
      </c>
      <c r="O133" s="8">
        <f>IF(N133="","", IF(N133&gt;6, "High", IF(N133&gt;=4, "Medium", "Low")))</f>
        <v/>
      </c>
      <c r="P133" s="6" t="n"/>
      <c r="Q133" s="5" t="n"/>
      <c r="R133" s="5" t="n"/>
      <c r="S133" s="5" t="n"/>
      <c r="T133" s="6" t="n"/>
      <c r="U133" s="6" t="n"/>
      <c r="V133" s="6" t="n"/>
      <c r="W133" s="6" t="n"/>
      <c r="X133" s="6" t="n"/>
      <c r="Y133" s="6" t="n"/>
    </row>
    <row r="134" ht="22" customHeight="1">
      <c r="A134" s="5" t="n"/>
      <c r="B134" s="6" t="n"/>
      <c r="C134" s="5" t="n"/>
      <c r="D134" s="5" t="n"/>
      <c r="E134" s="5" t="n"/>
      <c r="F134" s="6" t="n"/>
      <c r="G134" s="6" t="n"/>
      <c r="H134" s="7">
        <f>IF(AND(F134="",G134=""),"", "Risk of """ &amp; F134 &amp; """ because of """ &amp; SUBSTITUTE(G134, ", ", """ and """) &amp; """")</f>
        <v/>
      </c>
      <c r="I134" s="5" t="n"/>
      <c r="J134" s="5" t="n"/>
      <c r="K134" s="5" t="n"/>
      <c r="L134" s="8">
        <f>IF(E134="Confidential", 4, IF(E134="Sensitive", 3, IF(E134="Private", 2, IF(E134="Public", 1, ""))))</f>
        <v/>
      </c>
      <c r="M134" s="5" t="n"/>
      <c r="N134" s="8">
        <f>IF(OR(L134="",M134=""), "", L134*M134)</f>
        <v/>
      </c>
      <c r="O134" s="8">
        <f>IF(N134="","", IF(N134&gt;6, "High", IF(N134&gt;=4, "Medium", "Low")))</f>
        <v/>
      </c>
      <c r="P134" s="6" t="n"/>
      <c r="Q134" s="5" t="n"/>
      <c r="R134" s="5" t="n"/>
      <c r="S134" s="5" t="n"/>
      <c r="T134" s="6" t="n"/>
      <c r="U134" s="6" t="n"/>
      <c r="V134" s="6" t="n"/>
      <c r="W134" s="6" t="n"/>
      <c r="X134" s="6" t="n"/>
      <c r="Y134" s="6" t="n"/>
    </row>
    <row r="135" ht="22" customHeight="1">
      <c r="A135" s="5" t="n"/>
      <c r="B135" s="6" t="n"/>
      <c r="C135" s="5" t="n"/>
      <c r="D135" s="5" t="n"/>
      <c r="E135" s="5" t="n"/>
      <c r="F135" s="6" t="n"/>
      <c r="G135" s="6" t="n"/>
      <c r="H135" s="7">
        <f>IF(AND(F135="",G135=""),"", "Risk of """ &amp; F135 &amp; """ because of """ &amp; SUBSTITUTE(G135, ", ", """ and """) &amp; """")</f>
        <v/>
      </c>
      <c r="I135" s="5" t="n"/>
      <c r="J135" s="5" t="n"/>
      <c r="K135" s="5" t="n"/>
      <c r="L135" s="8">
        <f>IF(E135="Confidential", 4, IF(E135="Sensitive", 3, IF(E135="Private", 2, IF(E135="Public", 1, ""))))</f>
        <v/>
      </c>
      <c r="M135" s="5" t="n"/>
      <c r="N135" s="8">
        <f>IF(OR(L135="",M135=""), "", L135*M135)</f>
        <v/>
      </c>
      <c r="O135" s="8">
        <f>IF(N135="","", IF(N135&gt;6, "High", IF(N135&gt;=4, "Medium", "Low")))</f>
        <v/>
      </c>
      <c r="P135" s="6" t="n"/>
      <c r="Q135" s="5" t="n"/>
      <c r="R135" s="5" t="n"/>
      <c r="S135" s="5" t="n"/>
      <c r="T135" s="6" t="n"/>
      <c r="U135" s="6" t="n"/>
      <c r="V135" s="6" t="n"/>
      <c r="W135" s="6" t="n"/>
      <c r="X135" s="6" t="n"/>
      <c r="Y135" s="6" t="n"/>
    </row>
    <row r="136" ht="22" customHeight="1">
      <c r="A136" s="5" t="n"/>
      <c r="B136" s="6" t="n"/>
      <c r="C136" s="5" t="n"/>
      <c r="D136" s="5" t="n"/>
      <c r="E136" s="5" t="n"/>
      <c r="F136" s="6" t="n"/>
      <c r="G136" s="6" t="n"/>
      <c r="H136" s="7">
        <f>IF(AND(F136="",G136=""),"", "Risk of """ &amp; F136 &amp; """ because of """ &amp; SUBSTITUTE(G136, ", ", """ and """) &amp; """")</f>
        <v/>
      </c>
      <c r="I136" s="5" t="n"/>
      <c r="J136" s="5" t="n"/>
      <c r="K136" s="5" t="n"/>
      <c r="L136" s="8">
        <f>IF(E136="Confidential", 4, IF(E136="Sensitive", 3, IF(E136="Private", 2, IF(E136="Public", 1, ""))))</f>
        <v/>
      </c>
      <c r="M136" s="5" t="n"/>
      <c r="N136" s="8">
        <f>IF(OR(L136="",M136=""), "", L136*M136)</f>
        <v/>
      </c>
      <c r="O136" s="8">
        <f>IF(N136="","", IF(N136&gt;6, "High", IF(N136&gt;=4, "Medium", "Low")))</f>
        <v/>
      </c>
      <c r="P136" s="6" t="n"/>
      <c r="Q136" s="5" t="n"/>
      <c r="R136" s="5" t="n"/>
      <c r="S136" s="5" t="n"/>
      <c r="T136" s="6" t="n"/>
      <c r="U136" s="6" t="n"/>
      <c r="V136" s="6" t="n"/>
      <c r="W136" s="6" t="n"/>
      <c r="X136" s="6" t="n"/>
      <c r="Y136" s="6" t="n"/>
    </row>
    <row r="137" ht="22" customHeight="1">
      <c r="A137" s="5" t="n"/>
      <c r="B137" s="6" t="n"/>
      <c r="C137" s="5" t="n"/>
      <c r="D137" s="5" t="n"/>
      <c r="E137" s="5" t="n"/>
      <c r="F137" s="6" t="n"/>
      <c r="G137" s="6" t="n"/>
      <c r="H137" s="7">
        <f>IF(AND(F137="",G137=""),"", "Risk of """ &amp; F137 &amp; """ because of """ &amp; SUBSTITUTE(G137, ", ", """ and """) &amp; """")</f>
        <v/>
      </c>
      <c r="I137" s="5" t="n"/>
      <c r="J137" s="5" t="n"/>
      <c r="K137" s="5" t="n"/>
      <c r="L137" s="8">
        <f>IF(E137="Confidential", 4, IF(E137="Sensitive", 3, IF(E137="Private", 2, IF(E137="Public", 1, ""))))</f>
        <v/>
      </c>
      <c r="M137" s="5" t="n"/>
      <c r="N137" s="8">
        <f>IF(OR(L137="",M137=""), "", L137*M137)</f>
        <v/>
      </c>
      <c r="O137" s="8">
        <f>IF(N137="","", IF(N137&gt;6, "High", IF(N137&gt;=4, "Medium", "Low")))</f>
        <v/>
      </c>
      <c r="P137" s="6" t="n"/>
      <c r="Q137" s="5" t="n"/>
      <c r="R137" s="5" t="n"/>
      <c r="S137" s="5" t="n"/>
      <c r="T137" s="6" t="n"/>
      <c r="U137" s="6" t="n"/>
      <c r="V137" s="6" t="n"/>
      <c r="W137" s="6" t="n"/>
      <c r="X137" s="6" t="n"/>
      <c r="Y137" s="6" t="n"/>
    </row>
    <row r="138" ht="22" customHeight="1">
      <c r="A138" s="5" t="n"/>
      <c r="B138" s="6" t="n"/>
      <c r="C138" s="5" t="n"/>
      <c r="D138" s="5" t="n"/>
      <c r="E138" s="5" t="n"/>
      <c r="F138" s="6" t="n"/>
      <c r="G138" s="6" t="n"/>
      <c r="H138" s="7">
        <f>IF(AND(F138="",G138=""),"", "Risk of """ &amp; F138 &amp; """ because of """ &amp; SUBSTITUTE(G138, ", ", """ and """) &amp; """")</f>
        <v/>
      </c>
      <c r="I138" s="5" t="n"/>
      <c r="J138" s="5" t="n"/>
      <c r="K138" s="5" t="n"/>
      <c r="L138" s="8">
        <f>IF(E138="Confidential", 4, IF(E138="Sensitive", 3, IF(E138="Private", 2, IF(E138="Public", 1, ""))))</f>
        <v/>
      </c>
      <c r="M138" s="5" t="n"/>
      <c r="N138" s="8">
        <f>IF(OR(L138="",M138=""), "", L138*M138)</f>
        <v/>
      </c>
      <c r="O138" s="8">
        <f>IF(N138="","", IF(N138&gt;6, "High", IF(N138&gt;=4, "Medium", "Low")))</f>
        <v/>
      </c>
      <c r="P138" s="6" t="n"/>
      <c r="Q138" s="5" t="n"/>
      <c r="R138" s="5" t="n"/>
      <c r="S138" s="5" t="n"/>
      <c r="T138" s="6" t="n"/>
      <c r="U138" s="6" t="n"/>
      <c r="V138" s="6" t="n"/>
      <c r="W138" s="6" t="n"/>
      <c r="X138" s="6" t="n"/>
      <c r="Y138" s="6" t="n"/>
    </row>
    <row r="139" ht="22" customHeight="1">
      <c r="A139" s="5" t="n"/>
      <c r="B139" s="6" t="n"/>
      <c r="C139" s="5" t="n"/>
      <c r="D139" s="5" t="n"/>
      <c r="E139" s="5" t="n"/>
      <c r="F139" s="6" t="n"/>
      <c r="G139" s="6" t="n"/>
      <c r="H139" s="7">
        <f>IF(AND(F139="",G139=""),"", "Risk of """ &amp; F139 &amp; """ because of """ &amp; SUBSTITUTE(G139, ", ", """ and """) &amp; """")</f>
        <v/>
      </c>
      <c r="I139" s="5" t="n"/>
      <c r="J139" s="5" t="n"/>
      <c r="K139" s="5" t="n"/>
      <c r="L139" s="8">
        <f>IF(E139="Confidential", 4, IF(E139="Sensitive", 3, IF(E139="Private", 2, IF(E139="Public", 1, ""))))</f>
        <v/>
      </c>
      <c r="M139" s="5" t="n"/>
      <c r="N139" s="8">
        <f>IF(OR(L139="",M139=""), "", L139*M139)</f>
        <v/>
      </c>
      <c r="O139" s="8">
        <f>IF(N139="","", IF(N139&gt;6, "High", IF(N139&gt;=4, "Medium", "Low")))</f>
        <v/>
      </c>
      <c r="P139" s="6" t="n"/>
      <c r="Q139" s="5" t="n"/>
      <c r="R139" s="5" t="n"/>
      <c r="S139" s="5" t="n"/>
      <c r="T139" s="6" t="n"/>
      <c r="U139" s="6" t="n"/>
      <c r="V139" s="6" t="n"/>
      <c r="W139" s="6" t="n"/>
      <c r="X139" s="6" t="n"/>
      <c r="Y139" s="6" t="n"/>
    </row>
    <row r="140" ht="22" customHeight="1">
      <c r="A140" s="5" t="n"/>
      <c r="B140" s="6" t="n"/>
      <c r="C140" s="5" t="n"/>
      <c r="D140" s="5" t="n"/>
      <c r="E140" s="5" t="n"/>
      <c r="F140" s="6" t="n"/>
      <c r="G140" s="6" t="n"/>
      <c r="H140" s="7">
        <f>IF(AND(F140="",G140=""),"", "Risk of """ &amp; F140 &amp; """ because of """ &amp; SUBSTITUTE(G140, ", ", """ and """) &amp; """")</f>
        <v/>
      </c>
      <c r="I140" s="5" t="n"/>
      <c r="J140" s="5" t="n"/>
      <c r="K140" s="5" t="n"/>
      <c r="L140" s="8">
        <f>IF(E140="Confidential", 4, IF(E140="Sensitive", 3, IF(E140="Private", 2, IF(E140="Public", 1, ""))))</f>
        <v/>
      </c>
      <c r="M140" s="5" t="n"/>
      <c r="N140" s="8">
        <f>IF(OR(L140="",M140=""), "", L140*M140)</f>
        <v/>
      </c>
      <c r="O140" s="8">
        <f>IF(N140="","", IF(N140&gt;6, "High", IF(N140&gt;=4, "Medium", "Low")))</f>
        <v/>
      </c>
      <c r="P140" s="6" t="n"/>
      <c r="Q140" s="5" t="n"/>
      <c r="R140" s="5" t="n"/>
      <c r="S140" s="5" t="n"/>
      <c r="T140" s="6" t="n"/>
      <c r="U140" s="6" t="n"/>
      <c r="V140" s="6" t="n"/>
      <c r="W140" s="6" t="n"/>
      <c r="X140" s="6" t="n"/>
      <c r="Y140" s="6" t="n"/>
    </row>
    <row r="141" ht="22" customHeight="1">
      <c r="A141" s="5" t="n"/>
      <c r="B141" s="6" t="n"/>
      <c r="C141" s="5" t="n"/>
      <c r="D141" s="5" t="n"/>
      <c r="E141" s="5" t="n"/>
      <c r="F141" s="6" t="n"/>
      <c r="G141" s="6" t="n"/>
      <c r="H141" s="7">
        <f>IF(AND(F141="",G141=""),"", "Risk of """ &amp; F141 &amp; """ because of """ &amp; SUBSTITUTE(G141, ", ", """ and """) &amp; """")</f>
        <v/>
      </c>
      <c r="I141" s="5" t="n"/>
      <c r="J141" s="5" t="n"/>
      <c r="K141" s="5" t="n"/>
      <c r="L141" s="8">
        <f>IF(E141="Confidential", 4, IF(E141="Sensitive", 3, IF(E141="Private", 2, IF(E141="Public", 1, ""))))</f>
        <v/>
      </c>
      <c r="M141" s="5" t="n"/>
      <c r="N141" s="8">
        <f>IF(OR(L141="",M141=""), "", L141*M141)</f>
        <v/>
      </c>
      <c r="O141" s="8">
        <f>IF(N141="","", IF(N141&gt;6, "High", IF(N141&gt;=4, "Medium", "Low")))</f>
        <v/>
      </c>
      <c r="P141" s="6" t="n"/>
      <c r="Q141" s="5" t="n"/>
      <c r="R141" s="5" t="n"/>
      <c r="S141" s="5" t="n"/>
      <c r="T141" s="6" t="n"/>
      <c r="U141" s="6" t="n"/>
      <c r="V141" s="6" t="n"/>
      <c r="W141" s="6" t="n"/>
      <c r="X141" s="6" t="n"/>
      <c r="Y141" s="6" t="n"/>
    </row>
    <row r="142" ht="22" customHeight="1">
      <c r="A142" s="5" t="n"/>
      <c r="B142" s="6" t="n"/>
      <c r="C142" s="5" t="n"/>
      <c r="D142" s="5" t="n"/>
      <c r="E142" s="5" t="n"/>
      <c r="F142" s="6" t="n"/>
      <c r="G142" s="6" t="n"/>
      <c r="H142" s="7">
        <f>IF(AND(F142="",G142=""),"", "Risk of """ &amp; F142 &amp; """ because of """ &amp; SUBSTITUTE(G142, ", ", """ and """) &amp; """")</f>
        <v/>
      </c>
      <c r="I142" s="5" t="n"/>
      <c r="J142" s="5" t="n"/>
      <c r="K142" s="5" t="n"/>
      <c r="L142" s="8">
        <f>IF(E142="Confidential", 4, IF(E142="Sensitive", 3, IF(E142="Private", 2, IF(E142="Public", 1, ""))))</f>
        <v/>
      </c>
      <c r="M142" s="5" t="n"/>
      <c r="N142" s="8">
        <f>IF(OR(L142="",M142=""), "", L142*M142)</f>
        <v/>
      </c>
      <c r="O142" s="8">
        <f>IF(N142="","", IF(N142&gt;6, "High", IF(N142&gt;=4, "Medium", "Low")))</f>
        <v/>
      </c>
      <c r="P142" s="6" t="n"/>
      <c r="Q142" s="5" t="n"/>
      <c r="R142" s="5" t="n"/>
      <c r="S142" s="5" t="n"/>
      <c r="T142" s="6" t="n"/>
      <c r="U142" s="6" t="n"/>
      <c r="V142" s="6" t="n"/>
      <c r="W142" s="6" t="n"/>
      <c r="X142" s="6" t="n"/>
      <c r="Y142" s="6" t="n"/>
    </row>
    <row r="143" ht="22" customHeight="1">
      <c r="A143" s="5" t="n"/>
      <c r="B143" s="6" t="n"/>
      <c r="C143" s="5" t="n"/>
      <c r="D143" s="5" t="n"/>
      <c r="E143" s="5" t="n"/>
      <c r="F143" s="6" t="n"/>
      <c r="G143" s="6" t="n"/>
      <c r="H143" s="7">
        <f>IF(AND(F143="",G143=""),"", "Risk of """ &amp; F143 &amp; """ because of """ &amp; SUBSTITUTE(G143, ", ", """ and """) &amp; """")</f>
        <v/>
      </c>
      <c r="I143" s="5" t="n"/>
      <c r="J143" s="5" t="n"/>
      <c r="K143" s="5" t="n"/>
      <c r="L143" s="8">
        <f>IF(E143="Confidential", 4, IF(E143="Sensitive", 3, IF(E143="Private", 2, IF(E143="Public", 1, ""))))</f>
        <v/>
      </c>
      <c r="M143" s="5" t="n"/>
      <c r="N143" s="8">
        <f>IF(OR(L143="",M143=""), "", L143*M143)</f>
        <v/>
      </c>
      <c r="O143" s="8">
        <f>IF(N143="","", IF(N143&gt;6, "High", IF(N143&gt;=4, "Medium", "Low")))</f>
        <v/>
      </c>
      <c r="P143" s="6" t="n"/>
      <c r="Q143" s="5" t="n"/>
      <c r="R143" s="5" t="n"/>
      <c r="S143" s="5" t="n"/>
      <c r="T143" s="6" t="n"/>
      <c r="U143" s="6" t="n"/>
      <c r="V143" s="6" t="n"/>
      <c r="W143" s="6" t="n"/>
      <c r="X143" s="6" t="n"/>
      <c r="Y143" s="6" t="n"/>
    </row>
    <row r="144" ht="22" customHeight="1">
      <c r="A144" s="5" t="n"/>
      <c r="B144" s="6" t="n"/>
      <c r="C144" s="5" t="n"/>
      <c r="D144" s="5" t="n"/>
      <c r="E144" s="5" t="n"/>
      <c r="F144" s="6" t="n"/>
      <c r="G144" s="6" t="n"/>
      <c r="H144" s="7">
        <f>IF(AND(F144="",G144=""),"", "Risk of """ &amp; F144 &amp; """ because of """ &amp; SUBSTITUTE(G144, ", ", """ and """) &amp; """")</f>
        <v/>
      </c>
      <c r="I144" s="5" t="n"/>
      <c r="J144" s="5" t="n"/>
      <c r="K144" s="5" t="n"/>
      <c r="L144" s="8">
        <f>IF(E144="Confidential", 4, IF(E144="Sensitive", 3, IF(E144="Private", 2, IF(E144="Public", 1, ""))))</f>
        <v/>
      </c>
      <c r="M144" s="5" t="n"/>
      <c r="N144" s="8">
        <f>IF(OR(L144="",M144=""), "", L144*M144)</f>
        <v/>
      </c>
      <c r="O144" s="8">
        <f>IF(N144="","", IF(N144&gt;6, "High", IF(N144&gt;=4, "Medium", "Low")))</f>
        <v/>
      </c>
      <c r="P144" s="6" t="n"/>
      <c r="Q144" s="5" t="n"/>
      <c r="R144" s="5" t="n"/>
      <c r="S144" s="5" t="n"/>
      <c r="T144" s="6" t="n"/>
      <c r="U144" s="6" t="n"/>
      <c r="V144" s="6" t="n"/>
      <c r="W144" s="6" t="n"/>
      <c r="X144" s="6" t="n"/>
      <c r="Y144" s="6" t="n"/>
    </row>
    <row r="145" ht="22" customHeight="1">
      <c r="A145" s="5" t="n"/>
      <c r="B145" s="6" t="n"/>
      <c r="C145" s="5" t="n"/>
      <c r="D145" s="5" t="n"/>
      <c r="E145" s="5" t="n"/>
      <c r="F145" s="6" t="n"/>
      <c r="G145" s="6" t="n"/>
      <c r="H145" s="7">
        <f>IF(AND(F145="",G145=""),"", "Risk of """ &amp; F145 &amp; """ because of """ &amp; SUBSTITUTE(G145, ", ", """ and """) &amp; """")</f>
        <v/>
      </c>
      <c r="I145" s="5" t="n"/>
      <c r="J145" s="5" t="n"/>
      <c r="K145" s="5" t="n"/>
      <c r="L145" s="8">
        <f>IF(E145="Confidential", 4, IF(E145="Sensitive", 3, IF(E145="Private", 2, IF(E145="Public", 1, ""))))</f>
        <v/>
      </c>
      <c r="M145" s="5" t="n"/>
      <c r="N145" s="8">
        <f>IF(OR(L145="",M145=""), "", L145*M145)</f>
        <v/>
      </c>
      <c r="O145" s="8">
        <f>IF(N145="","", IF(N145&gt;6, "High", IF(N145&gt;=4, "Medium", "Low")))</f>
        <v/>
      </c>
      <c r="P145" s="6" t="n"/>
      <c r="Q145" s="5" t="n"/>
      <c r="R145" s="5" t="n"/>
      <c r="S145" s="5" t="n"/>
      <c r="T145" s="6" t="n"/>
      <c r="U145" s="6" t="n"/>
      <c r="V145" s="6" t="n"/>
      <c r="W145" s="6" t="n"/>
      <c r="X145" s="6" t="n"/>
      <c r="Y145" s="6" t="n"/>
    </row>
    <row r="146" ht="22" customHeight="1">
      <c r="A146" s="5" t="n"/>
      <c r="B146" s="6" t="n"/>
      <c r="C146" s="5" t="n"/>
      <c r="D146" s="5" t="n"/>
      <c r="E146" s="5" t="n"/>
      <c r="F146" s="6" t="n"/>
      <c r="G146" s="6" t="n"/>
      <c r="H146" s="7">
        <f>IF(AND(F146="",G146=""),"", "Risk of """ &amp; F146 &amp; """ because of """ &amp; SUBSTITUTE(G146, ", ", """ and """) &amp; """")</f>
        <v/>
      </c>
      <c r="I146" s="5" t="n"/>
      <c r="J146" s="5" t="n"/>
      <c r="K146" s="5" t="n"/>
      <c r="L146" s="8">
        <f>IF(E146="Confidential", 4, IF(E146="Sensitive", 3, IF(E146="Private", 2, IF(E146="Public", 1, ""))))</f>
        <v/>
      </c>
      <c r="M146" s="5" t="n"/>
      <c r="N146" s="8">
        <f>IF(OR(L146="",M146=""), "", L146*M146)</f>
        <v/>
      </c>
      <c r="O146" s="8">
        <f>IF(N146="","", IF(N146&gt;6, "High", IF(N146&gt;=4, "Medium", "Low")))</f>
        <v/>
      </c>
      <c r="P146" s="6" t="n"/>
      <c r="Q146" s="5" t="n"/>
      <c r="R146" s="5" t="n"/>
      <c r="S146" s="5" t="n"/>
      <c r="T146" s="6" t="n"/>
      <c r="U146" s="6" t="n"/>
      <c r="V146" s="6" t="n"/>
      <c r="W146" s="6" t="n"/>
      <c r="X146" s="6" t="n"/>
      <c r="Y146" s="6" t="n"/>
    </row>
    <row r="147" ht="22" customHeight="1">
      <c r="A147" s="5" t="n"/>
      <c r="B147" s="6" t="n"/>
      <c r="C147" s="5" t="n"/>
      <c r="D147" s="5" t="n"/>
      <c r="E147" s="5" t="n"/>
      <c r="F147" s="6" t="n"/>
      <c r="G147" s="6" t="n"/>
      <c r="H147" s="7">
        <f>IF(AND(F147="",G147=""),"", "Risk of """ &amp; F147 &amp; """ because of """ &amp; SUBSTITUTE(G147, ", ", """ and """) &amp; """")</f>
        <v/>
      </c>
      <c r="I147" s="5" t="n"/>
      <c r="J147" s="5" t="n"/>
      <c r="K147" s="5" t="n"/>
      <c r="L147" s="8">
        <f>IF(E147="Confidential", 4, IF(E147="Sensitive", 3, IF(E147="Private", 2, IF(E147="Public", 1, ""))))</f>
        <v/>
      </c>
      <c r="M147" s="5" t="n"/>
      <c r="N147" s="8">
        <f>IF(OR(L147="",M147=""), "", L147*M147)</f>
        <v/>
      </c>
      <c r="O147" s="8">
        <f>IF(N147="","", IF(N147&gt;6, "High", IF(N147&gt;=4, "Medium", "Low")))</f>
        <v/>
      </c>
      <c r="P147" s="6" t="n"/>
      <c r="Q147" s="5" t="n"/>
      <c r="R147" s="5" t="n"/>
      <c r="S147" s="5" t="n"/>
      <c r="T147" s="6" t="n"/>
      <c r="U147" s="6" t="n"/>
      <c r="V147" s="6" t="n"/>
      <c r="W147" s="6" t="n"/>
      <c r="X147" s="6" t="n"/>
      <c r="Y147" s="6" t="n"/>
    </row>
    <row r="148" ht="22" customHeight="1">
      <c r="A148" s="5" t="n"/>
      <c r="B148" s="6" t="n"/>
      <c r="C148" s="5" t="n"/>
      <c r="D148" s="5" t="n"/>
      <c r="E148" s="5" t="n"/>
      <c r="F148" s="6" t="n"/>
      <c r="G148" s="6" t="n"/>
      <c r="H148" s="7">
        <f>IF(AND(F148="",G148=""),"", "Risk of """ &amp; F148 &amp; """ because of """ &amp; SUBSTITUTE(G148, ", ", """ and """) &amp; """")</f>
        <v/>
      </c>
      <c r="I148" s="5" t="n"/>
      <c r="J148" s="5" t="n"/>
      <c r="K148" s="5" t="n"/>
      <c r="L148" s="8">
        <f>IF(E148="Confidential", 4, IF(E148="Sensitive", 3, IF(E148="Private", 2, IF(E148="Public", 1, ""))))</f>
        <v/>
      </c>
      <c r="M148" s="5" t="n"/>
      <c r="N148" s="8">
        <f>IF(OR(L148="",M148=""), "", L148*M148)</f>
        <v/>
      </c>
      <c r="O148" s="8">
        <f>IF(N148="","", IF(N148&gt;6, "High", IF(N148&gt;=4, "Medium", "Low")))</f>
        <v/>
      </c>
      <c r="P148" s="6" t="n"/>
      <c r="Q148" s="5" t="n"/>
      <c r="R148" s="5" t="n"/>
      <c r="S148" s="5" t="n"/>
      <c r="T148" s="6" t="n"/>
      <c r="U148" s="6" t="n"/>
      <c r="V148" s="6" t="n"/>
      <c r="W148" s="6" t="n"/>
      <c r="X148" s="6" t="n"/>
      <c r="Y148" s="6" t="n"/>
    </row>
    <row r="149" ht="22" customHeight="1">
      <c r="A149" s="5" t="n"/>
      <c r="B149" s="6" t="n"/>
      <c r="C149" s="5" t="n"/>
      <c r="D149" s="5" t="n"/>
      <c r="E149" s="5" t="n"/>
      <c r="F149" s="6" t="n"/>
      <c r="G149" s="6" t="n"/>
      <c r="H149" s="7">
        <f>IF(AND(F149="",G149=""),"", "Risk of """ &amp; F149 &amp; """ because of """ &amp; SUBSTITUTE(G149, ", ", """ and """) &amp; """")</f>
        <v/>
      </c>
      <c r="I149" s="5" t="n"/>
      <c r="J149" s="5" t="n"/>
      <c r="K149" s="5" t="n"/>
      <c r="L149" s="8">
        <f>IF(E149="Confidential", 4, IF(E149="Sensitive", 3, IF(E149="Private", 2, IF(E149="Public", 1, ""))))</f>
        <v/>
      </c>
      <c r="M149" s="5" t="n"/>
      <c r="N149" s="8">
        <f>IF(OR(L149="",M149=""), "", L149*M149)</f>
        <v/>
      </c>
      <c r="O149" s="8">
        <f>IF(N149="","", IF(N149&gt;6, "High", IF(N149&gt;=4, "Medium", "Low")))</f>
        <v/>
      </c>
      <c r="P149" s="6" t="n"/>
      <c r="Q149" s="5" t="n"/>
      <c r="R149" s="5" t="n"/>
      <c r="S149" s="5" t="n"/>
      <c r="T149" s="6" t="n"/>
      <c r="U149" s="6" t="n"/>
      <c r="V149" s="6" t="n"/>
      <c r="W149" s="6" t="n"/>
      <c r="X149" s="6" t="n"/>
      <c r="Y149" s="6" t="n"/>
    </row>
    <row r="150" ht="22" customHeight="1">
      <c r="A150" s="5" t="n"/>
      <c r="B150" s="6" t="n"/>
      <c r="C150" s="5" t="n"/>
      <c r="D150" s="5" t="n"/>
      <c r="E150" s="5" t="n"/>
      <c r="F150" s="6" t="n"/>
      <c r="G150" s="6" t="n"/>
      <c r="H150" s="7">
        <f>IF(AND(F150="",G150=""),"", "Risk of """ &amp; F150 &amp; """ because of """ &amp; SUBSTITUTE(G150, ", ", """ and """) &amp; """")</f>
        <v/>
      </c>
      <c r="I150" s="5" t="n"/>
      <c r="J150" s="5" t="n"/>
      <c r="K150" s="5" t="n"/>
      <c r="L150" s="8">
        <f>IF(E150="Confidential", 4, IF(E150="Sensitive", 3, IF(E150="Private", 2, IF(E150="Public", 1, ""))))</f>
        <v/>
      </c>
      <c r="M150" s="5" t="n"/>
      <c r="N150" s="8">
        <f>IF(OR(L150="",M150=""), "", L150*M150)</f>
        <v/>
      </c>
      <c r="O150" s="8">
        <f>IF(N150="","", IF(N150&gt;6, "High", IF(N150&gt;=4, "Medium", "Low")))</f>
        <v/>
      </c>
      <c r="P150" s="6" t="n"/>
      <c r="Q150" s="5" t="n"/>
      <c r="R150" s="5" t="n"/>
      <c r="S150" s="5" t="n"/>
      <c r="T150" s="6" t="n"/>
      <c r="U150" s="6" t="n"/>
      <c r="V150" s="6" t="n"/>
      <c r="W150" s="6" t="n"/>
      <c r="X150" s="6" t="n"/>
      <c r="Y150" s="6" t="n"/>
    </row>
    <row r="151" ht="22" customHeight="1">
      <c r="A151" s="5" t="n"/>
      <c r="B151" s="6" t="n"/>
      <c r="C151" s="5" t="n"/>
      <c r="D151" s="5" t="n"/>
      <c r="E151" s="5" t="n"/>
      <c r="F151" s="6" t="n"/>
      <c r="G151" s="6" t="n"/>
      <c r="H151" s="7">
        <f>IF(AND(F151="",G151=""),"", "Risk of """ &amp; F151 &amp; """ because of """ &amp; SUBSTITUTE(G151, ", ", """ and """) &amp; """")</f>
        <v/>
      </c>
      <c r="I151" s="5" t="n"/>
      <c r="J151" s="5" t="n"/>
      <c r="K151" s="5" t="n"/>
      <c r="L151" s="8">
        <f>IF(E151="Confidential", 4, IF(E151="Sensitive", 3, IF(E151="Private", 2, IF(E151="Public", 1, ""))))</f>
        <v/>
      </c>
      <c r="M151" s="5" t="n"/>
      <c r="N151" s="8">
        <f>IF(OR(L151="",M151=""), "", L151*M151)</f>
        <v/>
      </c>
      <c r="O151" s="8">
        <f>IF(N151="","", IF(N151&gt;6, "High", IF(N151&gt;=4, "Medium", "Low")))</f>
        <v/>
      </c>
      <c r="P151" s="6" t="n"/>
      <c r="Q151" s="5" t="n"/>
      <c r="R151" s="5" t="n"/>
      <c r="S151" s="5" t="n"/>
      <c r="T151" s="6" t="n"/>
      <c r="U151" s="6" t="n"/>
      <c r="V151" s="6" t="n"/>
      <c r="W151" s="6" t="n"/>
      <c r="X151" s="6" t="n"/>
      <c r="Y151" s="6" t="n"/>
    </row>
    <row r="152" ht="22" customHeight="1">
      <c r="A152" s="5" t="n"/>
      <c r="B152" s="6" t="n"/>
      <c r="C152" s="5" t="n"/>
      <c r="D152" s="5" t="n"/>
      <c r="E152" s="5" t="n"/>
      <c r="F152" s="6" t="n"/>
      <c r="G152" s="6" t="n"/>
      <c r="H152" s="7">
        <f>IF(AND(F152="",G152=""),"", "Risk of """ &amp; F152 &amp; """ because of """ &amp; SUBSTITUTE(G152, ", ", """ and """) &amp; """")</f>
        <v/>
      </c>
      <c r="I152" s="5" t="n"/>
      <c r="J152" s="5" t="n"/>
      <c r="K152" s="5" t="n"/>
      <c r="L152" s="8">
        <f>IF(E152="Confidential", 4, IF(E152="Sensitive", 3, IF(E152="Private", 2, IF(E152="Public", 1, ""))))</f>
        <v/>
      </c>
      <c r="M152" s="5" t="n"/>
      <c r="N152" s="8">
        <f>IF(OR(L152="",M152=""), "", L152*M152)</f>
        <v/>
      </c>
      <c r="O152" s="8">
        <f>IF(N152="","", IF(N152&gt;6, "High", IF(N152&gt;=4, "Medium", "Low")))</f>
        <v/>
      </c>
      <c r="P152" s="6" t="n"/>
      <c r="Q152" s="5" t="n"/>
      <c r="R152" s="5" t="n"/>
      <c r="S152" s="5" t="n"/>
      <c r="T152" s="6" t="n"/>
      <c r="U152" s="6" t="n"/>
      <c r="V152" s="6" t="n"/>
      <c r="W152" s="6" t="n"/>
      <c r="X152" s="6" t="n"/>
      <c r="Y152" s="6" t="n"/>
    </row>
    <row r="153" ht="22" customHeight="1">
      <c r="A153" s="5" t="n"/>
      <c r="B153" s="6" t="n"/>
      <c r="C153" s="5" t="n"/>
      <c r="D153" s="5" t="n"/>
      <c r="E153" s="5" t="n"/>
      <c r="F153" s="6" t="n"/>
      <c r="G153" s="6" t="n"/>
      <c r="H153" s="7">
        <f>IF(AND(F153="",G153=""),"", "Risk of """ &amp; F153 &amp; """ because of """ &amp; SUBSTITUTE(G153, ", ", """ and """) &amp; """")</f>
        <v/>
      </c>
      <c r="I153" s="5" t="n"/>
      <c r="J153" s="5" t="n"/>
      <c r="K153" s="5" t="n"/>
      <c r="L153" s="8">
        <f>IF(E153="Confidential", 4, IF(E153="Sensitive", 3, IF(E153="Private", 2, IF(E153="Public", 1, ""))))</f>
        <v/>
      </c>
      <c r="M153" s="5" t="n"/>
      <c r="N153" s="8">
        <f>IF(OR(L153="",M153=""), "", L153*M153)</f>
        <v/>
      </c>
      <c r="O153" s="8">
        <f>IF(N153="","", IF(N153&gt;6, "High", IF(N153&gt;=4, "Medium", "Low")))</f>
        <v/>
      </c>
      <c r="P153" s="6" t="n"/>
      <c r="Q153" s="5" t="n"/>
      <c r="R153" s="5" t="n"/>
      <c r="S153" s="5" t="n"/>
      <c r="T153" s="6" t="n"/>
      <c r="U153" s="6" t="n"/>
      <c r="V153" s="6" t="n"/>
      <c r="W153" s="6" t="n"/>
      <c r="X153" s="6" t="n"/>
      <c r="Y153" s="6" t="n"/>
    </row>
    <row r="154" ht="22" customHeight="1">
      <c r="A154" s="5" t="n"/>
      <c r="B154" s="6" t="n"/>
      <c r="C154" s="5" t="n"/>
      <c r="D154" s="5" t="n"/>
      <c r="E154" s="5" t="n"/>
      <c r="F154" s="6" t="n"/>
      <c r="G154" s="6" t="n"/>
      <c r="H154" s="7">
        <f>IF(AND(F154="",G154=""),"", "Risk of """ &amp; F154 &amp; """ because of """ &amp; SUBSTITUTE(G154, ", ", """ and """) &amp; """")</f>
        <v/>
      </c>
      <c r="I154" s="5" t="n"/>
      <c r="J154" s="5" t="n"/>
      <c r="K154" s="5" t="n"/>
      <c r="L154" s="8">
        <f>IF(E154="Confidential", 4, IF(E154="Sensitive", 3, IF(E154="Private", 2, IF(E154="Public", 1, ""))))</f>
        <v/>
      </c>
      <c r="M154" s="5" t="n"/>
      <c r="N154" s="8">
        <f>IF(OR(L154="",M154=""), "", L154*M154)</f>
        <v/>
      </c>
      <c r="O154" s="8">
        <f>IF(N154="","", IF(N154&gt;6, "High", IF(N154&gt;=4, "Medium", "Low")))</f>
        <v/>
      </c>
      <c r="P154" s="6" t="n"/>
      <c r="Q154" s="5" t="n"/>
      <c r="R154" s="5" t="n"/>
      <c r="S154" s="5" t="n"/>
      <c r="T154" s="6" t="n"/>
      <c r="U154" s="6" t="n"/>
      <c r="V154" s="6" t="n"/>
      <c r="W154" s="6" t="n"/>
      <c r="X154" s="6" t="n"/>
      <c r="Y154" s="6" t="n"/>
    </row>
    <row r="155" ht="22" customHeight="1">
      <c r="A155" s="5" t="n"/>
      <c r="B155" s="6" t="n"/>
      <c r="C155" s="5" t="n"/>
      <c r="D155" s="5" t="n"/>
      <c r="E155" s="5" t="n"/>
      <c r="F155" s="6" t="n"/>
      <c r="G155" s="6" t="n"/>
      <c r="H155" s="7">
        <f>IF(AND(F155="",G155=""),"", "Risk of """ &amp; F155 &amp; """ because of """ &amp; SUBSTITUTE(G155, ", ", """ and """) &amp; """")</f>
        <v/>
      </c>
      <c r="I155" s="5" t="n"/>
      <c r="J155" s="5" t="n"/>
      <c r="K155" s="5" t="n"/>
      <c r="L155" s="8">
        <f>IF(E155="Confidential", 4, IF(E155="Sensitive", 3, IF(E155="Private", 2, IF(E155="Public", 1, ""))))</f>
        <v/>
      </c>
      <c r="M155" s="5" t="n"/>
      <c r="N155" s="8">
        <f>IF(OR(L155="",M155=""), "", L155*M155)</f>
        <v/>
      </c>
      <c r="O155" s="8">
        <f>IF(N155="","", IF(N155&gt;6, "High", IF(N155&gt;=4, "Medium", "Low")))</f>
        <v/>
      </c>
      <c r="P155" s="6" t="n"/>
      <c r="Q155" s="5" t="n"/>
      <c r="R155" s="5" t="n"/>
      <c r="S155" s="5" t="n"/>
      <c r="T155" s="6" t="n"/>
      <c r="U155" s="6" t="n"/>
      <c r="V155" s="6" t="n"/>
      <c r="W155" s="6" t="n"/>
      <c r="X155" s="6" t="n"/>
      <c r="Y155" s="6" t="n"/>
    </row>
    <row r="156" ht="22" customHeight="1">
      <c r="A156" s="5" t="n"/>
      <c r="B156" s="6" t="n"/>
      <c r="C156" s="5" t="n"/>
      <c r="D156" s="5" t="n"/>
      <c r="E156" s="5" t="n"/>
      <c r="F156" s="6" t="n"/>
      <c r="G156" s="6" t="n"/>
      <c r="H156" s="7">
        <f>IF(AND(F156="",G156=""),"", "Risk of """ &amp; F156 &amp; """ because of """ &amp; SUBSTITUTE(G156, ", ", """ and """) &amp; """")</f>
        <v/>
      </c>
      <c r="I156" s="5" t="n"/>
      <c r="J156" s="5" t="n"/>
      <c r="K156" s="5" t="n"/>
      <c r="L156" s="8">
        <f>IF(E156="Confidential", 4, IF(E156="Sensitive", 3, IF(E156="Private", 2, IF(E156="Public", 1, ""))))</f>
        <v/>
      </c>
      <c r="M156" s="5" t="n"/>
      <c r="N156" s="8">
        <f>IF(OR(L156="",M156=""), "", L156*M156)</f>
        <v/>
      </c>
      <c r="O156" s="8">
        <f>IF(N156="","", IF(N156&gt;6, "High", IF(N156&gt;=4, "Medium", "Low")))</f>
        <v/>
      </c>
      <c r="P156" s="6" t="n"/>
      <c r="Q156" s="5" t="n"/>
      <c r="R156" s="5" t="n"/>
      <c r="S156" s="5" t="n"/>
      <c r="T156" s="6" t="n"/>
      <c r="U156" s="6" t="n"/>
      <c r="V156" s="6" t="n"/>
      <c r="W156" s="6" t="n"/>
      <c r="X156" s="6" t="n"/>
      <c r="Y156" s="6" t="n"/>
    </row>
    <row r="157" ht="22" customHeight="1">
      <c r="A157" s="5" t="n"/>
      <c r="B157" s="6" t="n"/>
      <c r="C157" s="5" t="n"/>
      <c r="D157" s="5" t="n"/>
      <c r="E157" s="5" t="n"/>
      <c r="F157" s="6" t="n"/>
      <c r="G157" s="6" t="n"/>
      <c r="H157" s="7">
        <f>IF(AND(F157="",G157=""),"", "Risk of """ &amp; F157 &amp; """ because of """ &amp; SUBSTITUTE(G157, ", ", """ and """) &amp; """")</f>
        <v/>
      </c>
      <c r="I157" s="5" t="n"/>
      <c r="J157" s="5" t="n"/>
      <c r="K157" s="5" t="n"/>
      <c r="L157" s="8">
        <f>IF(E157="Confidential", 4, IF(E157="Sensitive", 3, IF(E157="Private", 2, IF(E157="Public", 1, ""))))</f>
        <v/>
      </c>
      <c r="M157" s="5" t="n"/>
      <c r="N157" s="8">
        <f>IF(OR(L157="",M157=""), "", L157*M157)</f>
        <v/>
      </c>
      <c r="O157" s="8">
        <f>IF(N157="","", IF(N157&gt;6, "High", IF(N157&gt;=4, "Medium", "Low")))</f>
        <v/>
      </c>
      <c r="P157" s="6" t="n"/>
      <c r="Q157" s="5" t="n"/>
      <c r="R157" s="5" t="n"/>
      <c r="S157" s="5" t="n"/>
      <c r="T157" s="6" t="n"/>
      <c r="U157" s="6" t="n"/>
      <c r="V157" s="6" t="n"/>
      <c r="W157" s="6" t="n"/>
      <c r="X157" s="6" t="n"/>
      <c r="Y157" s="6" t="n"/>
    </row>
    <row r="158" ht="22" customHeight="1">
      <c r="A158" s="5" t="n"/>
      <c r="B158" s="6" t="n"/>
      <c r="C158" s="5" t="n"/>
      <c r="D158" s="5" t="n"/>
      <c r="E158" s="5" t="n"/>
      <c r="F158" s="6" t="n"/>
      <c r="G158" s="6" t="n"/>
      <c r="H158" s="7">
        <f>IF(AND(F158="",G158=""),"", "Risk of """ &amp; F158 &amp; """ because of """ &amp; SUBSTITUTE(G158, ", ", """ and """) &amp; """")</f>
        <v/>
      </c>
      <c r="I158" s="5" t="n"/>
      <c r="J158" s="5" t="n"/>
      <c r="K158" s="5" t="n"/>
      <c r="L158" s="8">
        <f>IF(E158="Confidential", 4, IF(E158="Sensitive", 3, IF(E158="Private", 2, IF(E158="Public", 1, ""))))</f>
        <v/>
      </c>
      <c r="M158" s="5" t="n"/>
      <c r="N158" s="8">
        <f>IF(OR(L158="",M158=""), "", L158*M158)</f>
        <v/>
      </c>
      <c r="O158" s="8">
        <f>IF(N158="","", IF(N158&gt;6, "High", IF(N158&gt;=4, "Medium", "Low")))</f>
        <v/>
      </c>
      <c r="P158" s="6" t="n"/>
      <c r="Q158" s="5" t="n"/>
      <c r="R158" s="5" t="n"/>
      <c r="S158" s="5" t="n"/>
      <c r="T158" s="6" t="n"/>
      <c r="U158" s="6" t="n"/>
      <c r="V158" s="6" t="n"/>
      <c r="W158" s="6" t="n"/>
      <c r="X158" s="6" t="n"/>
      <c r="Y158" s="6" t="n"/>
    </row>
    <row r="159" ht="22" customHeight="1">
      <c r="A159" s="5" t="n"/>
      <c r="B159" s="6" t="n"/>
      <c r="C159" s="5" t="n"/>
      <c r="D159" s="5" t="n"/>
      <c r="E159" s="5" t="n"/>
      <c r="F159" s="6" t="n"/>
      <c r="G159" s="6" t="n"/>
      <c r="H159" s="7">
        <f>IF(AND(F159="",G159=""),"", "Risk of """ &amp; F159 &amp; """ because of """ &amp; SUBSTITUTE(G159, ", ", """ and """) &amp; """")</f>
        <v/>
      </c>
      <c r="I159" s="5" t="n"/>
      <c r="J159" s="5" t="n"/>
      <c r="K159" s="5" t="n"/>
      <c r="L159" s="8">
        <f>IF(E159="Confidential", 4, IF(E159="Sensitive", 3, IF(E159="Private", 2, IF(E159="Public", 1, ""))))</f>
        <v/>
      </c>
      <c r="M159" s="5" t="n"/>
      <c r="N159" s="8">
        <f>IF(OR(L159="",M159=""), "", L159*M159)</f>
        <v/>
      </c>
      <c r="O159" s="8">
        <f>IF(N159="","", IF(N159&gt;6, "High", IF(N159&gt;=4, "Medium", "Low")))</f>
        <v/>
      </c>
      <c r="P159" s="6" t="n"/>
      <c r="Q159" s="5" t="n"/>
      <c r="R159" s="5" t="n"/>
      <c r="S159" s="5" t="n"/>
      <c r="T159" s="6" t="n"/>
      <c r="U159" s="6" t="n"/>
      <c r="V159" s="6" t="n"/>
      <c r="W159" s="6" t="n"/>
      <c r="X159" s="6" t="n"/>
      <c r="Y159" s="6" t="n"/>
    </row>
    <row r="160" ht="22" customHeight="1">
      <c r="A160" s="5" t="n"/>
      <c r="B160" s="6" t="n"/>
      <c r="C160" s="5" t="n"/>
      <c r="D160" s="5" t="n"/>
      <c r="E160" s="5" t="n"/>
      <c r="F160" s="6" t="n"/>
      <c r="G160" s="6" t="n"/>
      <c r="H160" s="7">
        <f>IF(AND(F160="",G160=""),"", "Risk of """ &amp; F160 &amp; """ because of """ &amp; SUBSTITUTE(G160, ", ", """ and """) &amp; """")</f>
        <v/>
      </c>
      <c r="I160" s="5" t="n"/>
      <c r="J160" s="5" t="n"/>
      <c r="K160" s="5" t="n"/>
      <c r="L160" s="8">
        <f>IF(E160="Confidential", 4, IF(E160="Sensitive", 3, IF(E160="Private", 2, IF(E160="Public", 1, ""))))</f>
        <v/>
      </c>
      <c r="M160" s="5" t="n"/>
      <c r="N160" s="8">
        <f>IF(OR(L160="",M160=""), "", L160*M160)</f>
        <v/>
      </c>
      <c r="O160" s="8">
        <f>IF(N160="","", IF(N160&gt;6, "High", IF(N160&gt;=4, "Medium", "Low")))</f>
        <v/>
      </c>
      <c r="P160" s="6" t="n"/>
      <c r="Q160" s="5" t="n"/>
      <c r="R160" s="5" t="n"/>
      <c r="S160" s="5" t="n"/>
      <c r="T160" s="6" t="n"/>
      <c r="U160" s="6" t="n"/>
      <c r="V160" s="6" t="n"/>
      <c r="W160" s="6" t="n"/>
      <c r="X160" s="6" t="n"/>
      <c r="Y160" s="6" t="n"/>
    </row>
    <row r="161" ht="22" customHeight="1">
      <c r="A161" s="5" t="n"/>
      <c r="B161" s="6" t="n"/>
      <c r="C161" s="5" t="n"/>
      <c r="D161" s="5" t="n"/>
      <c r="E161" s="5" t="n"/>
      <c r="F161" s="6" t="n"/>
      <c r="G161" s="6" t="n"/>
      <c r="H161" s="7">
        <f>IF(AND(F161="",G161=""),"", "Risk of """ &amp; F161 &amp; """ because of """ &amp; SUBSTITUTE(G161, ", ", """ and """) &amp; """")</f>
        <v/>
      </c>
      <c r="I161" s="5" t="n"/>
      <c r="J161" s="5" t="n"/>
      <c r="K161" s="5" t="n"/>
      <c r="L161" s="8">
        <f>IF(E161="Confidential", 4, IF(E161="Sensitive", 3, IF(E161="Private", 2, IF(E161="Public", 1, ""))))</f>
        <v/>
      </c>
      <c r="M161" s="5" t="n"/>
      <c r="N161" s="8">
        <f>IF(OR(L161="",M161=""), "", L161*M161)</f>
        <v/>
      </c>
      <c r="O161" s="8">
        <f>IF(N161="","", IF(N161&gt;6, "High", IF(N161&gt;=4, "Medium", "Low")))</f>
        <v/>
      </c>
      <c r="P161" s="6" t="n"/>
      <c r="Q161" s="5" t="n"/>
      <c r="R161" s="5" t="n"/>
      <c r="S161" s="5" t="n"/>
      <c r="T161" s="6" t="n"/>
      <c r="U161" s="6" t="n"/>
      <c r="V161" s="6" t="n"/>
      <c r="W161" s="6" t="n"/>
      <c r="X161" s="6" t="n"/>
      <c r="Y161" s="6" t="n"/>
    </row>
    <row r="162" ht="22" customHeight="1">
      <c r="A162" s="5" t="n"/>
      <c r="B162" s="6" t="n"/>
      <c r="C162" s="5" t="n"/>
      <c r="D162" s="5" t="n"/>
      <c r="E162" s="5" t="n"/>
      <c r="F162" s="6" t="n"/>
      <c r="G162" s="6" t="n"/>
      <c r="H162" s="7">
        <f>IF(AND(F162="",G162=""),"", "Risk of """ &amp; F162 &amp; """ because of """ &amp; SUBSTITUTE(G162, ", ", """ and """) &amp; """")</f>
        <v/>
      </c>
      <c r="I162" s="5" t="n"/>
      <c r="J162" s="5" t="n"/>
      <c r="K162" s="5" t="n"/>
      <c r="L162" s="8">
        <f>IF(E162="Confidential", 4, IF(E162="Sensitive", 3, IF(E162="Private", 2, IF(E162="Public", 1, ""))))</f>
        <v/>
      </c>
      <c r="M162" s="5" t="n"/>
      <c r="N162" s="8">
        <f>IF(OR(L162="",M162=""), "", L162*M162)</f>
        <v/>
      </c>
      <c r="O162" s="8">
        <f>IF(N162="","", IF(N162&gt;6, "High", IF(N162&gt;=4, "Medium", "Low")))</f>
        <v/>
      </c>
      <c r="P162" s="6" t="n"/>
      <c r="Q162" s="5" t="n"/>
      <c r="R162" s="5" t="n"/>
      <c r="S162" s="5" t="n"/>
      <c r="T162" s="6" t="n"/>
      <c r="U162" s="6" t="n"/>
      <c r="V162" s="6" t="n"/>
      <c r="W162" s="6" t="n"/>
      <c r="X162" s="6" t="n"/>
      <c r="Y162" s="6" t="n"/>
    </row>
    <row r="163" ht="22" customHeight="1">
      <c r="A163" s="5" t="n"/>
      <c r="B163" s="6" t="n"/>
      <c r="C163" s="5" t="n"/>
      <c r="D163" s="5" t="n"/>
      <c r="E163" s="5" t="n"/>
      <c r="F163" s="6" t="n"/>
      <c r="G163" s="6" t="n"/>
      <c r="H163" s="7">
        <f>IF(AND(F163="",G163=""),"", "Risk of """ &amp; F163 &amp; """ because of """ &amp; SUBSTITUTE(G163, ", ", """ and """) &amp; """")</f>
        <v/>
      </c>
      <c r="I163" s="5" t="n"/>
      <c r="J163" s="5" t="n"/>
      <c r="K163" s="5" t="n"/>
      <c r="L163" s="8">
        <f>IF(E163="Confidential", 4, IF(E163="Sensitive", 3, IF(E163="Private", 2, IF(E163="Public", 1, ""))))</f>
        <v/>
      </c>
      <c r="M163" s="5" t="n"/>
      <c r="N163" s="8">
        <f>IF(OR(L163="",M163=""), "", L163*M163)</f>
        <v/>
      </c>
      <c r="O163" s="8">
        <f>IF(N163="","", IF(N163&gt;6, "High", IF(N163&gt;=4, "Medium", "Low")))</f>
        <v/>
      </c>
      <c r="P163" s="6" t="n"/>
      <c r="Q163" s="5" t="n"/>
      <c r="R163" s="5" t="n"/>
      <c r="S163" s="5" t="n"/>
      <c r="T163" s="6" t="n"/>
      <c r="U163" s="6" t="n"/>
      <c r="V163" s="6" t="n"/>
      <c r="W163" s="6" t="n"/>
      <c r="X163" s="6" t="n"/>
      <c r="Y163" s="6" t="n"/>
    </row>
    <row r="164" ht="22" customHeight="1">
      <c r="A164" s="5" t="n"/>
      <c r="B164" s="6" t="n"/>
      <c r="C164" s="5" t="n"/>
      <c r="D164" s="5" t="n"/>
      <c r="E164" s="5" t="n"/>
      <c r="F164" s="6" t="n"/>
      <c r="G164" s="6" t="n"/>
      <c r="H164" s="7">
        <f>IF(AND(F164="",G164=""),"", "Risk of """ &amp; F164 &amp; """ because of """ &amp; SUBSTITUTE(G164, ", ", """ and """) &amp; """")</f>
        <v/>
      </c>
      <c r="I164" s="5" t="n"/>
      <c r="J164" s="5" t="n"/>
      <c r="K164" s="5" t="n"/>
      <c r="L164" s="8">
        <f>IF(E164="Confidential", 4, IF(E164="Sensitive", 3, IF(E164="Private", 2, IF(E164="Public", 1, ""))))</f>
        <v/>
      </c>
      <c r="M164" s="5" t="n"/>
      <c r="N164" s="8">
        <f>IF(OR(L164="",M164=""), "", L164*M164)</f>
        <v/>
      </c>
      <c r="O164" s="8">
        <f>IF(N164="","", IF(N164&gt;6, "High", IF(N164&gt;=4, "Medium", "Low")))</f>
        <v/>
      </c>
      <c r="P164" s="6" t="n"/>
      <c r="Q164" s="5" t="n"/>
      <c r="R164" s="5" t="n"/>
      <c r="S164" s="5" t="n"/>
      <c r="T164" s="6" t="n"/>
      <c r="U164" s="6" t="n"/>
      <c r="V164" s="6" t="n"/>
      <c r="W164" s="6" t="n"/>
      <c r="X164" s="6" t="n"/>
      <c r="Y164" s="6" t="n"/>
    </row>
    <row r="165" ht="22" customHeight="1">
      <c r="A165" s="5" t="n"/>
      <c r="B165" s="6" t="n"/>
      <c r="C165" s="5" t="n"/>
      <c r="D165" s="5" t="n"/>
      <c r="E165" s="5" t="n"/>
      <c r="F165" s="6" t="n"/>
      <c r="G165" s="6" t="n"/>
      <c r="H165" s="7">
        <f>IF(AND(F165="",G165=""),"", "Risk of """ &amp; F165 &amp; """ because of """ &amp; SUBSTITUTE(G165, ", ", """ and """) &amp; """")</f>
        <v/>
      </c>
      <c r="I165" s="5" t="n"/>
      <c r="J165" s="5" t="n"/>
      <c r="K165" s="5" t="n"/>
      <c r="L165" s="8">
        <f>IF(E165="Confidential", 4, IF(E165="Sensitive", 3, IF(E165="Private", 2, IF(E165="Public", 1, ""))))</f>
        <v/>
      </c>
      <c r="M165" s="5" t="n"/>
      <c r="N165" s="8">
        <f>IF(OR(L165="",M165=""), "", L165*M165)</f>
        <v/>
      </c>
      <c r="O165" s="8">
        <f>IF(N165="","", IF(N165&gt;6, "High", IF(N165&gt;=4, "Medium", "Low")))</f>
        <v/>
      </c>
      <c r="P165" s="6" t="n"/>
      <c r="Q165" s="5" t="n"/>
      <c r="R165" s="5" t="n"/>
      <c r="S165" s="5" t="n"/>
      <c r="T165" s="6" t="n"/>
      <c r="U165" s="6" t="n"/>
      <c r="V165" s="6" t="n"/>
      <c r="W165" s="6" t="n"/>
      <c r="X165" s="6" t="n"/>
      <c r="Y165" s="6" t="n"/>
    </row>
    <row r="166" ht="22" customHeight="1">
      <c r="A166" s="5" t="n"/>
      <c r="B166" s="6" t="n"/>
      <c r="C166" s="5" t="n"/>
      <c r="D166" s="5" t="n"/>
      <c r="E166" s="5" t="n"/>
      <c r="F166" s="6" t="n"/>
      <c r="G166" s="6" t="n"/>
      <c r="H166" s="7">
        <f>IF(AND(F166="",G166=""),"", "Risk of """ &amp; F166 &amp; """ because of """ &amp; SUBSTITUTE(G166, ", ", """ and """) &amp; """")</f>
        <v/>
      </c>
      <c r="I166" s="5" t="n"/>
      <c r="J166" s="5" t="n"/>
      <c r="K166" s="5" t="n"/>
      <c r="L166" s="8">
        <f>IF(E166="Confidential", 4, IF(E166="Sensitive", 3, IF(E166="Private", 2, IF(E166="Public", 1, ""))))</f>
        <v/>
      </c>
      <c r="M166" s="5" t="n"/>
      <c r="N166" s="8">
        <f>IF(OR(L166="",M166=""), "", L166*M166)</f>
        <v/>
      </c>
      <c r="O166" s="8">
        <f>IF(N166="","", IF(N166&gt;6, "High", IF(N166&gt;=4, "Medium", "Low")))</f>
        <v/>
      </c>
      <c r="P166" s="6" t="n"/>
      <c r="Q166" s="5" t="n"/>
      <c r="R166" s="5" t="n"/>
      <c r="S166" s="5" t="n"/>
      <c r="T166" s="6" t="n"/>
      <c r="U166" s="6" t="n"/>
      <c r="V166" s="6" t="n"/>
      <c r="W166" s="6" t="n"/>
      <c r="X166" s="6" t="n"/>
      <c r="Y166" s="6" t="n"/>
    </row>
    <row r="167" ht="22" customHeight="1">
      <c r="A167" s="5" t="n"/>
      <c r="B167" s="6" t="n"/>
      <c r="C167" s="5" t="n"/>
      <c r="D167" s="5" t="n"/>
      <c r="E167" s="5" t="n"/>
      <c r="F167" s="6" t="n"/>
      <c r="G167" s="6" t="n"/>
      <c r="H167" s="7">
        <f>IF(AND(F167="",G167=""),"", "Risk of """ &amp; F167 &amp; """ because of """ &amp; SUBSTITUTE(G167, ", ", """ and """) &amp; """")</f>
        <v/>
      </c>
      <c r="I167" s="5" t="n"/>
      <c r="J167" s="5" t="n"/>
      <c r="K167" s="5" t="n"/>
      <c r="L167" s="8">
        <f>IF(E167="Confidential", 4, IF(E167="Sensitive", 3, IF(E167="Private", 2, IF(E167="Public", 1, ""))))</f>
        <v/>
      </c>
      <c r="M167" s="5" t="n"/>
      <c r="N167" s="8">
        <f>IF(OR(L167="",M167=""), "", L167*M167)</f>
        <v/>
      </c>
      <c r="O167" s="8">
        <f>IF(N167="","", IF(N167&gt;6, "High", IF(N167&gt;=4, "Medium", "Low")))</f>
        <v/>
      </c>
      <c r="P167" s="6" t="n"/>
      <c r="Q167" s="5" t="n"/>
      <c r="R167" s="5" t="n"/>
      <c r="S167" s="5" t="n"/>
      <c r="T167" s="6" t="n"/>
      <c r="U167" s="6" t="n"/>
      <c r="V167" s="6" t="n"/>
      <c r="W167" s="6" t="n"/>
      <c r="X167" s="6" t="n"/>
      <c r="Y167" s="6" t="n"/>
    </row>
    <row r="168" ht="22" customHeight="1">
      <c r="A168" s="5" t="n"/>
      <c r="B168" s="6" t="n"/>
      <c r="C168" s="5" t="n"/>
      <c r="D168" s="5" t="n"/>
      <c r="E168" s="5" t="n"/>
      <c r="F168" s="6" t="n"/>
      <c r="G168" s="6" t="n"/>
      <c r="H168" s="7">
        <f>IF(AND(F168="",G168=""),"", "Risk of """ &amp; F168 &amp; """ because of """ &amp; SUBSTITUTE(G168, ", ", """ and """) &amp; """")</f>
        <v/>
      </c>
      <c r="I168" s="5" t="n"/>
      <c r="J168" s="5" t="n"/>
      <c r="K168" s="5" t="n"/>
      <c r="L168" s="8">
        <f>IF(E168="Confidential", 4, IF(E168="Sensitive", 3, IF(E168="Private", 2, IF(E168="Public", 1, ""))))</f>
        <v/>
      </c>
      <c r="M168" s="5" t="n"/>
      <c r="N168" s="8">
        <f>IF(OR(L168="",M168=""), "", L168*M168)</f>
        <v/>
      </c>
      <c r="O168" s="8">
        <f>IF(N168="","", IF(N168&gt;6, "High", IF(N168&gt;=4, "Medium", "Low")))</f>
        <v/>
      </c>
      <c r="P168" s="6" t="n"/>
      <c r="Q168" s="5" t="n"/>
      <c r="R168" s="5" t="n"/>
      <c r="S168" s="5" t="n"/>
      <c r="T168" s="6" t="n"/>
      <c r="U168" s="6" t="n"/>
      <c r="V168" s="6" t="n"/>
      <c r="W168" s="6" t="n"/>
      <c r="X168" s="6" t="n"/>
      <c r="Y168" s="6" t="n"/>
    </row>
    <row r="169" ht="22" customHeight="1">
      <c r="A169" s="5" t="n"/>
      <c r="B169" s="6" t="n"/>
      <c r="C169" s="5" t="n"/>
      <c r="D169" s="5" t="n"/>
      <c r="E169" s="5" t="n"/>
      <c r="F169" s="6" t="n"/>
      <c r="G169" s="6" t="n"/>
      <c r="H169" s="7">
        <f>IF(AND(F169="",G169=""),"", "Risk of """ &amp; F169 &amp; """ because of """ &amp; SUBSTITUTE(G169, ", ", """ and """) &amp; """")</f>
        <v/>
      </c>
      <c r="I169" s="5" t="n"/>
      <c r="J169" s="5" t="n"/>
      <c r="K169" s="5" t="n"/>
      <c r="L169" s="8">
        <f>IF(E169="Confidential", 4, IF(E169="Sensitive", 3, IF(E169="Private", 2, IF(E169="Public", 1, ""))))</f>
        <v/>
      </c>
      <c r="M169" s="5" t="n"/>
      <c r="N169" s="8">
        <f>IF(OR(L169="",M169=""), "", L169*M169)</f>
        <v/>
      </c>
      <c r="O169" s="8">
        <f>IF(N169="","", IF(N169&gt;6, "High", IF(N169&gt;=4, "Medium", "Low")))</f>
        <v/>
      </c>
      <c r="P169" s="6" t="n"/>
      <c r="Q169" s="5" t="n"/>
      <c r="R169" s="5" t="n"/>
      <c r="S169" s="5" t="n"/>
      <c r="T169" s="6" t="n"/>
      <c r="U169" s="6" t="n"/>
      <c r="V169" s="6" t="n"/>
      <c r="W169" s="6" t="n"/>
      <c r="X169" s="6" t="n"/>
      <c r="Y169" s="6" t="n"/>
    </row>
    <row r="170" ht="22" customHeight="1">
      <c r="A170" s="5" t="n"/>
      <c r="B170" s="6" t="n"/>
      <c r="C170" s="5" t="n"/>
      <c r="D170" s="5" t="n"/>
      <c r="E170" s="5" t="n"/>
      <c r="F170" s="6" t="n"/>
      <c r="G170" s="6" t="n"/>
      <c r="H170" s="7">
        <f>IF(AND(F170="",G170=""),"", "Risk of """ &amp; F170 &amp; """ because of """ &amp; SUBSTITUTE(G170, ", ", """ and """) &amp; """")</f>
        <v/>
      </c>
      <c r="I170" s="5" t="n"/>
      <c r="J170" s="5" t="n"/>
      <c r="K170" s="5" t="n"/>
      <c r="L170" s="8">
        <f>IF(E170="Confidential", 4, IF(E170="Sensitive", 3, IF(E170="Private", 2, IF(E170="Public", 1, ""))))</f>
        <v/>
      </c>
      <c r="M170" s="5" t="n"/>
      <c r="N170" s="8">
        <f>IF(OR(L170="",M170=""), "", L170*M170)</f>
        <v/>
      </c>
      <c r="O170" s="8">
        <f>IF(N170="","", IF(N170&gt;6, "High", IF(N170&gt;=4, "Medium", "Low")))</f>
        <v/>
      </c>
      <c r="P170" s="6" t="n"/>
      <c r="Q170" s="5" t="n"/>
      <c r="R170" s="5" t="n"/>
      <c r="S170" s="5" t="n"/>
      <c r="T170" s="6" t="n"/>
      <c r="U170" s="6" t="n"/>
      <c r="V170" s="6" t="n"/>
      <c r="W170" s="6" t="n"/>
      <c r="X170" s="6" t="n"/>
      <c r="Y170" s="6" t="n"/>
    </row>
    <row r="171" ht="22" customHeight="1">
      <c r="A171" s="5" t="n"/>
      <c r="B171" s="6" t="n"/>
      <c r="C171" s="5" t="n"/>
      <c r="D171" s="5" t="n"/>
      <c r="E171" s="5" t="n"/>
      <c r="F171" s="6" t="n"/>
      <c r="G171" s="6" t="n"/>
      <c r="H171" s="7">
        <f>IF(AND(F171="",G171=""),"", "Risk of """ &amp; F171 &amp; """ because of """ &amp; SUBSTITUTE(G171, ", ", """ and """) &amp; """")</f>
        <v/>
      </c>
      <c r="I171" s="5" t="n"/>
      <c r="J171" s="5" t="n"/>
      <c r="K171" s="5" t="n"/>
      <c r="L171" s="8">
        <f>IF(E171="Confidential", 4, IF(E171="Sensitive", 3, IF(E171="Private", 2, IF(E171="Public", 1, ""))))</f>
        <v/>
      </c>
      <c r="M171" s="5" t="n"/>
      <c r="N171" s="8">
        <f>IF(OR(L171="",M171=""), "", L171*M171)</f>
        <v/>
      </c>
      <c r="O171" s="8">
        <f>IF(N171="","", IF(N171&gt;6, "High", IF(N171&gt;=4, "Medium", "Low")))</f>
        <v/>
      </c>
      <c r="P171" s="6" t="n"/>
      <c r="Q171" s="5" t="n"/>
      <c r="R171" s="5" t="n"/>
      <c r="S171" s="5" t="n"/>
      <c r="T171" s="6" t="n"/>
      <c r="U171" s="6" t="n"/>
      <c r="V171" s="6" t="n"/>
      <c r="W171" s="6" t="n"/>
      <c r="X171" s="6" t="n"/>
      <c r="Y171" s="6" t="n"/>
    </row>
    <row r="172" ht="22" customHeight="1">
      <c r="A172" s="5" t="n"/>
      <c r="B172" s="6" t="n"/>
      <c r="C172" s="5" t="n"/>
      <c r="D172" s="5" t="n"/>
      <c r="E172" s="5" t="n"/>
      <c r="F172" s="6" t="n"/>
      <c r="G172" s="6" t="n"/>
      <c r="H172" s="7">
        <f>IF(AND(F172="",G172=""),"", "Risk of """ &amp; F172 &amp; """ because of """ &amp; SUBSTITUTE(G172, ", ", """ and """) &amp; """")</f>
        <v/>
      </c>
      <c r="I172" s="5" t="n"/>
      <c r="J172" s="5" t="n"/>
      <c r="K172" s="5" t="n"/>
      <c r="L172" s="8">
        <f>IF(E172="Confidential", 4, IF(E172="Sensitive", 3, IF(E172="Private", 2, IF(E172="Public", 1, ""))))</f>
        <v/>
      </c>
      <c r="M172" s="5" t="n"/>
      <c r="N172" s="8">
        <f>IF(OR(L172="",M172=""), "", L172*M172)</f>
        <v/>
      </c>
      <c r="O172" s="8">
        <f>IF(N172="","", IF(N172&gt;6, "High", IF(N172&gt;=4, "Medium", "Low")))</f>
        <v/>
      </c>
      <c r="P172" s="6" t="n"/>
      <c r="Q172" s="5" t="n"/>
      <c r="R172" s="5" t="n"/>
      <c r="S172" s="5" t="n"/>
      <c r="T172" s="6" t="n"/>
      <c r="U172" s="6" t="n"/>
      <c r="V172" s="6" t="n"/>
      <c r="W172" s="6" t="n"/>
      <c r="X172" s="6" t="n"/>
      <c r="Y172" s="6" t="n"/>
    </row>
    <row r="173" ht="22" customHeight="1">
      <c r="A173" s="5" t="n"/>
      <c r="B173" s="6" t="n"/>
      <c r="C173" s="5" t="n"/>
      <c r="D173" s="5" t="n"/>
      <c r="E173" s="5" t="n"/>
      <c r="F173" s="6" t="n"/>
      <c r="G173" s="6" t="n"/>
      <c r="H173" s="7">
        <f>IF(AND(F173="",G173=""),"", "Risk of """ &amp; F173 &amp; """ because of """ &amp; SUBSTITUTE(G173, ", ", """ and """) &amp; """")</f>
        <v/>
      </c>
      <c r="I173" s="5" t="n"/>
      <c r="J173" s="5" t="n"/>
      <c r="K173" s="5" t="n"/>
      <c r="L173" s="8">
        <f>IF(E173="Confidential", 4, IF(E173="Sensitive", 3, IF(E173="Private", 2, IF(E173="Public", 1, ""))))</f>
        <v/>
      </c>
      <c r="M173" s="5" t="n"/>
      <c r="N173" s="8">
        <f>IF(OR(L173="",M173=""), "", L173*M173)</f>
        <v/>
      </c>
      <c r="O173" s="8">
        <f>IF(N173="","", IF(N173&gt;6, "High", IF(N173&gt;=4, "Medium", "Low")))</f>
        <v/>
      </c>
      <c r="P173" s="6" t="n"/>
      <c r="Q173" s="5" t="n"/>
      <c r="R173" s="5" t="n"/>
      <c r="S173" s="5" t="n"/>
      <c r="T173" s="6" t="n"/>
      <c r="U173" s="6" t="n"/>
      <c r="V173" s="6" t="n"/>
      <c r="W173" s="6" t="n"/>
      <c r="X173" s="6" t="n"/>
      <c r="Y173" s="6" t="n"/>
    </row>
    <row r="174" ht="22" customHeight="1">
      <c r="A174" s="5" t="n"/>
      <c r="B174" s="6" t="n"/>
      <c r="C174" s="5" t="n"/>
      <c r="D174" s="5" t="n"/>
      <c r="E174" s="5" t="n"/>
      <c r="F174" s="6" t="n"/>
      <c r="G174" s="6" t="n"/>
      <c r="H174" s="7">
        <f>IF(AND(F174="",G174=""),"", "Risk of """ &amp; F174 &amp; """ because of """ &amp; SUBSTITUTE(G174, ", ", """ and """) &amp; """")</f>
        <v/>
      </c>
      <c r="I174" s="5" t="n"/>
      <c r="J174" s="5" t="n"/>
      <c r="K174" s="5" t="n"/>
      <c r="L174" s="8">
        <f>IF(E174="Confidential", 4, IF(E174="Sensitive", 3, IF(E174="Private", 2, IF(E174="Public", 1, ""))))</f>
        <v/>
      </c>
      <c r="M174" s="5" t="n"/>
      <c r="N174" s="8">
        <f>IF(OR(L174="",M174=""), "", L174*M174)</f>
        <v/>
      </c>
      <c r="O174" s="8">
        <f>IF(N174="","", IF(N174&gt;6, "High", IF(N174&gt;=4, "Medium", "Low")))</f>
        <v/>
      </c>
      <c r="P174" s="6" t="n"/>
      <c r="Q174" s="5" t="n"/>
      <c r="R174" s="5" t="n"/>
      <c r="S174" s="5" t="n"/>
      <c r="T174" s="6" t="n"/>
      <c r="U174" s="6" t="n"/>
      <c r="V174" s="6" t="n"/>
      <c r="W174" s="6" t="n"/>
      <c r="X174" s="6" t="n"/>
      <c r="Y174" s="6" t="n"/>
    </row>
    <row r="175" ht="22" customHeight="1">
      <c r="A175" s="5" t="n"/>
      <c r="B175" s="6" t="n"/>
      <c r="C175" s="5" t="n"/>
      <c r="D175" s="5" t="n"/>
      <c r="E175" s="5" t="n"/>
      <c r="F175" s="6" t="n"/>
      <c r="G175" s="6" t="n"/>
      <c r="H175" s="7">
        <f>IF(AND(F175="",G175=""),"", "Risk of """ &amp; F175 &amp; """ because of """ &amp; SUBSTITUTE(G175, ", ", """ and """) &amp; """")</f>
        <v/>
      </c>
      <c r="I175" s="5" t="n"/>
      <c r="J175" s="5" t="n"/>
      <c r="K175" s="5" t="n"/>
      <c r="L175" s="8">
        <f>IF(E175="Confidential", 4, IF(E175="Sensitive", 3, IF(E175="Private", 2, IF(E175="Public", 1, ""))))</f>
        <v/>
      </c>
      <c r="M175" s="5" t="n"/>
      <c r="N175" s="8">
        <f>IF(OR(L175="",M175=""), "", L175*M175)</f>
        <v/>
      </c>
      <c r="O175" s="8">
        <f>IF(N175="","", IF(N175&gt;6, "High", IF(N175&gt;=4, "Medium", "Low")))</f>
        <v/>
      </c>
      <c r="P175" s="6" t="n"/>
      <c r="Q175" s="5" t="n"/>
      <c r="R175" s="5" t="n"/>
      <c r="S175" s="5" t="n"/>
      <c r="T175" s="6" t="n"/>
      <c r="U175" s="6" t="n"/>
      <c r="V175" s="6" t="n"/>
      <c r="W175" s="6" t="n"/>
      <c r="X175" s="6" t="n"/>
      <c r="Y175" s="6" t="n"/>
    </row>
    <row r="176" ht="22" customHeight="1">
      <c r="A176" s="5" t="n"/>
      <c r="B176" s="6" t="n"/>
      <c r="C176" s="5" t="n"/>
      <c r="D176" s="5" t="n"/>
      <c r="E176" s="5" t="n"/>
      <c r="F176" s="6" t="n"/>
      <c r="G176" s="6" t="n"/>
      <c r="H176" s="7">
        <f>IF(AND(F176="",G176=""),"", "Risk of """ &amp; F176 &amp; """ because of """ &amp; SUBSTITUTE(G176, ", ", """ and """) &amp; """")</f>
        <v/>
      </c>
      <c r="I176" s="5" t="n"/>
      <c r="J176" s="5" t="n"/>
      <c r="K176" s="5" t="n"/>
      <c r="L176" s="8">
        <f>IF(E176="Confidential", 4, IF(E176="Sensitive", 3, IF(E176="Private", 2, IF(E176="Public", 1, ""))))</f>
        <v/>
      </c>
      <c r="M176" s="5" t="n"/>
      <c r="N176" s="8">
        <f>IF(OR(L176="",M176=""), "", L176*M176)</f>
        <v/>
      </c>
      <c r="O176" s="8">
        <f>IF(N176="","", IF(N176&gt;6, "High", IF(N176&gt;=4, "Medium", "Low")))</f>
        <v/>
      </c>
      <c r="P176" s="6" t="n"/>
      <c r="Q176" s="5" t="n"/>
      <c r="R176" s="5" t="n"/>
      <c r="S176" s="5" t="n"/>
      <c r="T176" s="6" t="n"/>
      <c r="U176" s="6" t="n"/>
      <c r="V176" s="6" t="n"/>
      <c r="W176" s="6" t="n"/>
      <c r="X176" s="6" t="n"/>
      <c r="Y176" s="6" t="n"/>
    </row>
    <row r="177" ht="22" customHeight="1">
      <c r="A177" s="5" t="n"/>
      <c r="B177" s="6" t="n"/>
      <c r="C177" s="5" t="n"/>
      <c r="D177" s="5" t="n"/>
      <c r="E177" s="5" t="n"/>
      <c r="F177" s="6" t="n"/>
      <c r="G177" s="6" t="n"/>
      <c r="H177" s="7">
        <f>IF(AND(F177="",G177=""),"", "Risk of """ &amp; F177 &amp; """ because of """ &amp; SUBSTITUTE(G177, ", ", """ and """) &amp; """")</f>
        <v/>
      </c>
      <c r="I177" s="5" t="n"/>
      <c r="J177" s="5" t="n"/>
      <c r="K177" s="5" t="n"/>
      <c r="L177" s="8">
        <f>IF(E177="Confidential", 4, IF(E177="Sensitive", 3, IF(E177="Private", 2, IF(E177="Public", 1, ""))))</f>
        <v/>
      </c>
      <c r="M177" s="5" t="n"/>
      <c r="N177" s="8">
        <f>IF(OR(L177="",M177=""), "", L177*M177)</f>
        <v/>
      </c>
      <c r="O177" s="8">
        <f>IF(N177="","", IF(N177&gt;6, "High", IF(N177&gt;=4, "Medium", "Low")))</f>
        <v/>
      </c>
      <c r="P177" s="6" t="n"/>
      <c r="Q177" s="5" t="n"/>
      <c r="R177" s="5" t="n"/>
      <c r="S177" s="5" t="n"/>
      <c r="T177" s="6" t="n"/>
      <c r="U177" s="6" t="n"/>
      <c r="V177" s="6" t="n"/>
      <c r="W177" s="6" t="n"/>
      <c r="X177" s="6" t="n"/>
      <c r="Y177" s="6" t="n"/>
    </row>
    <row r="178" ht="22" customHeight="1">
      <c r="A178" s="5" t="n"/>
      <c r="B178" s="6" t="n"/>
      <c r="C178" s="5" t="n"/>
      <c r="D178" s="5" t="n"/>
      <c r="E178" s="5" t="n"/>
      <c r="F178" s="6" t="n"/>
      <c r="G178" s="6" t="n"/>
      <c r="H178" s="7">
        <f>IF(AND(F178="",G178=""),"", "Risk of """ &amp; F178 &amp; """ because of """ &amp; SUBSTITUTE(G178, ", ", """ and """) &amp; """")</f>
        <v/>
      </c>
      <c r="I178" s="5" t="n"/>
      <c r="J178" s="5" t="n"/>
      <c r="K178" s="5" t="n"/>
      <c r="L178" s="8">
        <f>IF(E178="Confidential", 4, IF(E178="Sensitive", 3, IF(E178="Private", 2, IF(E178="Public", 1, ""))))</f>
        <v/>
      </c>
      <c r="M178" s="5" t="n"/>
      <c r="N178" s="8">
        <f>IF(OR(L178="",M178=""), "", L178*M178)</f>
        <v/>
      </c>
      <c r="O178" s="8">
        <f>IF(N178="","", IF(N178&gt;6, "High", IF(N178&gt;=4, "Medium", "Low")))</f>
        <v/>
      </c>
      <c r="P178" s="6" t="n"/>
      <c r="Q178" s="5" t="n"/>
      <c r="R178" s="5" t="n"/>
      <c r="S178" s="5" t="n"/>
      <c r="T178" s="6" t="n"/>
      <c r="U178" s="6" t="n"/>
      <c r="V178" s="6" t="n"/>
      <c r="W178" s="6" t="n"/>
      <c r="X178" s="6" t="n"/>
      <c r="Y178" s="6" t="n"/>
    </row>
    <row r="179" ht="22" customHeight="1">
      <c r="A179" s="5" t="n"/>
      <c r="B179" s="6" t="n"/>
      <c r="C179" s="5" t="n"/>
      <c r="D179" s="5" t="n"/>
      <c r="E179" s="5" t="n"/>
      <c r="F179" s="6" t="n"/>
      <c r="G179" s="6" t="n"/>
      <c r="H179" s="7">
        <f>IF(AND(F179="",G179=""),"", "Risk of """ &amp; F179 &amp; """ because of """ &amp; SUBSTITUTE(G179, ", ", """ and """) &amp; """")</f>
        <v/>
      </c>
      <c r="I179" s="5" t="n"/>
      <c r="J179" s="5" t="n"/>
      <c r="K179" s="5" t="n"/>
      <c r="L179" s="8">
        <f>IF(E179="Confidential", 4, IF(E179="Sensitive", 3, IF(E179="Private", 2, IF(E179="Public", 1, ""))))</f>
        <v/>
      </c>
      <c r="M179" s="5" t="n"/>
      <c r="N179" s="8">
        <f>IF(OR(L179="",M179=""), "", L179*M179)</f>
        <v/>
      </c>
      <c r="O179" s="8">
        <f>IF(N179="","", IF(N179&gt;6, "High", IF(N179&gt;=4, "Medium", "Low")))</f>
        <v/>
      </c>
      <c r="P179" s="6" t="n"/>
      <c r="Q179" s="5" t="n"/>
      <c r="R179" s="5" t="n"/>
      <c r="S179" s="5" t="n"/>
      <c r="T179" s="6" t="n"/>
      <c r="U179" s="6" t="n"/>
      <c r="V179" s="6" t="n"/>
      <c r="W179" s="6" t="n"/>
      <c r="X179" s="6" t="n"/>
      <c r="Y179" s="6" t="n"/>
    </row>
    <row r="180" ht="22" customHeight="1">
      <c r="A180" s="5" t="n"/>
      <c r="B180" s="6" t="n"/>
      <c r="C180" s="5" t="n"/>
      <c r="D180" s="5" t="n"/>
      <c r="E180" s="5" t="n"/>
      <c r="F180" s="6" t="n"/>
      <c r="G180" s="6" t="n"/>
      <c r="H180" s="7">
        <f>IF(AND(F180="",G180=""),"", "Risk of """ &amp; F180 &amp; """ because of """ &amp; SUBSTITUTE(G180, ", ", """ and """) &amp; """")</f>
        <v/>
      </c>
      <c r="I180" s="5" t="n"/>
      <c r="J180" s="5" t="n"/>
      <c r="K180" s="5" t="n"/>
      <c r="L180" s="8">
        <f>IF(E180="Confidential", 4, IF(E180="Sensitive", 3, IF(E180="Private", 2, IF(E180="Public", 1, ""))))</f>
        <v/>
      </c>
      <c r="M180" s="5" t="n"/>
      <c r="N180" s="8">
        <f>IF(OR(L180="",M180=""), "", L180*M180)</f>
        <v/>
      </c>
      <c r="O180" s="8">
        <f>IF(N180="","", IF(N180&gt;6, "High", IF(N180&gt;=4, "Medium", "Low")))</f>
        <v/>
      </c>
      <c r="P180" s="6" t="n"/>
      <c r="Q180" s="5" t="n"/>
      <c r="R180" s="5" t="n"/>
      <c r="S180" s="5" t="n"/>
      <c r="T180" s="6" t="n"/>
      <c r="U180" s="6" t="n"/>
      <c r="V180" s="6" t="n"/>
      <c r="W180" s="6" t="n"/>
      <c r="X180" s="6" t="n"/>
      <c r="Y180" s="6" t="n"/>
    </row>
    <row r="181" ht="22" customHeight="1">
      <c r="A181" s="5" t="n"/>
      <c r="B181" s="6" t="n"/>
      <c r="C181" s="5" t="n"/>
      <c r="D181" s="5" t="n"/>
      <c r="E181" s="5" t="n"/>
      <c r="F181" s="6" t="n"/>
      <c r="G181" s="6" t="n"/>
      <c r="H181" s="7">
        <f>IF(AND(F181="",G181=""),"", "Risk of """ &amp; F181 &amp; """ because of """ &amp; SUBSTITUTE(G181, ", ", """ and """) &amp; """")</f>
        <v/>
      </c>
      <c r="I181" s="5" t="n"/>
      <c r="J181" s="5" t="n"/>
      <c r="K181" s="5" t="n"/>
      <c r="L181" s="8">
        <f>IF(E181="Confidential", 4, IF(E181="Sensitive", 3, IF(E181="Private", 2, IF(E181="Public", 1, ""))))</f>
        <v/>
      </c>
      <c r="M181" s="5" t="n"/>
      <c r="N181" s="8">
        <f>IF(OR(L181="",M181=""), "", L181*M181)</f>
        <v/>
      </c>
      <c r="O181" s="8">
        <f>IF(N181="","", IF(N181&gt;6, "High", IF(N181&gt;=4, "Medium", "Low")))</f>
        <v/>
      </c>
      <c r="P181" s="6" t="n"/>
      <c r="Q181" s="5" t="n"/>
      <c r="R181" s="5" t="n"/>
      <c r="S181" s="5" t="n"/>
      <c r="T181" s="6" t="n"/>
      <c r="U181" s="6" t="n"/>
      <c r="V181" s="6" t="n"/>
      <c r="W181" s="6" t="n"/>
      <c r="X181" s="6" t="n"/>
      <c r="Y181" s="6" t="n"/>
    </row>
    <row r="182" ht="22" customHeight="1">
      <c r="A182" s="5" t="n"/>
      <c r="B182" s="6" t="n"/>
      <c r="C182" s="5" t="n"/>
      <c r="D182" s="5" t="n"/>
      <c r="E182" s="5" t="n"/>
      <c r="F182" s="6" t="n"/>
      <c r="G182" s="6" t="n"/>
      <c r="H182" s="7">
        <f>IF(AND(F182="",G182=""),"", "Risk of """ &amp; F182 &amp; """ because of """ &amp; SUBSTITUTE(G182, ", ", """ and """) &amp; """")</f>
        <v/>
      </c>
      <c r="I182" s="5" t="n"/>
      <c r="J182" s="5" t="n"/>
      <c r="K182" s="5" t="n"/>
      <c r="L182" s="8">
        <f>IF(E182="Confidential", 4, IF(E182="Sensitive", 3, IF(E182="Private", 2, IF(E182="Public", 1, ""))))</f>
        <v/>
      </c>
      <c r="M182" s="5" t="n"/>
      <c r="N182" s="8">
        <f>IF(OR(L182="",M182=""), "", L182*M182)</f>
        <v/>
      </c>
      <c r="O182" s="8">
        <f>IF(N182="","", IF(N182&gt;6, "High", IF(N182&gt;=4, "Medium", "Low")))</f>
        <v/>
      </c>
      <c r="P182" s="6" t="n"/>
      <c r="Q182" s="5" t="n"/>
      <c r="R182" s="5" t="n"/>
      <c r="S182" s="5" t="n"/>
      <c r="T182" s="6" t="n"/>
      <c r="U182" s="6" t="n"/>
      <c r="V182" s="6" t="n"/>
      <c r="W182" s="6" t="n"/>
      <c r="X182" s="6" t="n"/>
      <c r="Y182" s="6" t="n"/>
    </row>
    <row r="183" ht="22" customHeight="1">
      <c r="A183" s="5" t="n"/>
      <c r="B183" s="6" t="n"/>
      <c r="C183" s="5" t="n"/>
      <c r="D183" s="5" t="n"/>
      <c r="E183" s="5" t="n"/>
      <c r="F183" s="6" t="n"/>
      <c r="G183" s="6" t="n"/>
      <c r="H183" s="7">
        <f>IF(AND(F183="",G183=""),"", "Risk of """ &amp; F183 &amp; """ because of """ &amp; SUBSTITUTE(G183, ", ", """ and """) &amp; """")</f>
        <v/>
      </c>
      <c r="I183" s="5" t="n"/>
      <c r="J183" s="5" t="n"/>
      <c r="K183" s="5" t="n"/>
      <c r="L183" s="8">
        <f>IF(E183="Confidential", 4, IF(E183="Sensitive", 3, IF(E183="Private", 2, IF(E183="Public", 1, ""))))</f>
        <v/>
      </c>
      <c r="M183" s="5" t="n"/>
      <c r="N183" s="8">
        <f>IF(OR(L183="",M183=""), "", L183*M183)</f>
        <v/>
      </c>
      <c r="O183" s="8">
        <f>IF(N183="","", IF(N183&gt;6, "High", IF(N183&gt;=4, "Medium", "Low")))</f>
        <v/>
      </c>
      <c r="P183" s="6" t="n"/>
      <c r="Q183" s="5" t="n"/>
      <c r="R183" s="5" t="n"/>
      <c r="S183" s="5" t="n"/>
      <c r="T183" s="6" t="n"/>
      <c r="U183" s="6" t="n"/>
      <c r="V183" s="6" t="n"/>
      <c r="W183" s="6" t="n"/>
      <c r="X183" s="6" t="n"/>
      <c r="Y183" s="6" t="n"/>
    </row>
    <row r="184" ht="22" customHeight="1">
      <c r="A184" s="5" t="n"/>
      <c r="B184" s="6" t="n"/>
      <c r="C184" s="5" t="n"/>
      <c r="D184" s="5" t="n"/>
      <c r="E184" s="5" t="n"/>
      <c r="F184" s="6" t="n"/>
      <c r="G184" s="6" t="n"/>
      <c r="H184" s="7">
        <f>IF(AND(F184="",G184=""),"", "Risk of """ &amp; F184 &amp; """ because of """ &amp; SUBSTITUTE(G184, ", ", """ and """) &amp; """")</f>
        <v/>
      </c>
      <c r="I184" s="5" t="n"/>
      <c r="J184" s="5" t="n"/>
      <c r="K184" s="5" t="n"/>
      <c r="L184" s="8">
        <f>IF(E184="Confidential", 4, IF(E184="Sensitive", 3, IF(E184="Private", 2, IF(E184="Public", 1, ""))))</f>
        <v/>
      </c>
      <c r="M184" s="5" t="n"/>
      <c r="N184" s="8">
        <f>IF(OR(L184="",M184=""), "", L184*M184)</f>
        <v/>
      </c>
      <c r="O184" s="8">
        <f>IF(N184="","", IF(N184&gt;6, "High", IF(N184&gt;=4, "Medium", "Low")))</f>
        <v/>
      </c>
      <c r="P184" s="6" t="n"/>
      <c r="Q184" s="5" t="n"/>
      <c r="R184" s="5" t="n"/>
      <c r="S184" s="5" t="n"/>
      <c r="T184" s="6" t="n"/>
      <c r="U184" s="6" t="n"/>
      <c r="V184" s="6" t="n"/>
      <c r="W184" s="6" t="n"/>
      <c r="X184" s="6" t="n"/>
      <c r="Y184" s="6" t="n"/>
    </row>
    <row r="185" ht="22" customHeight="1">
      <c r="A185" s="5" t="n"/>
      <c r="B185" s="6" t="n"/>
      <c r="C185" s="5" t="n"/>
      <c r="D185" s="5" t="n"/>
      <c r="E185" s="5" t="n"/>
      <c r="F185" s="6" t="n"/>
      <c r="G185" s="6" t="n"/>
      <c r="H185" s="7">
        <f>IF(AND(F185="",G185=""),"", "Risk of """ &amp; F185 &amp; """ because of """ &amp; SUBSTITUTE(G185, ", ", """ and """) &amp; """")</f>
        <v/>
      </c>
      <c r="I185" s="5" t="n"/>
      <c r="J185" s="5" t="n"/>
      <c r="K185" s="5" t="n"/>
      <c r="L185" s="8">
        <f>IF(E185="Confidential", 4, IF(E185="Sensitive", 3, IF(E185="Private", 2, IF(E185="Public", 1, ""))))</f>
        <v/>
      </c>
      <c r="M185" s="5" t="n"/>
      <c r="N185" s="8">
        <f>IF(OR(L185="",M185=""), "", L185*M185)</f>
        <v/>
      </c>
      <c r="O185" s="8">
        <f>IF(N185="","", IF(N185&gt;6, "High", IF(N185&gt;=4, "Medium", "Low")))</f>
        <v/>
      </c>
      <c r="P185" s="6" t="n"/>
      <c r="Q185" s="5" t="n"/>
      <c r="R185" s="5" t="n"/>
      <c r="S185" s="5" t="n"/>
      <c r="T185" s="6" t="n"/>
      <c r="U185" s="6" t="n"/>
      <c r="V185" s="6" t="n"/>
      <c r="W185" s="6" t="n"/>
      <c r="X185" s="6" t="n"/>
      <c r="Y185" s="6" t="n"/>
    </row>
    <row r="186" ht="22" customHeight="1">
      <c r="A186" s="5" t="n"/>
      <c r="B186" s="6" t="n"/>
      <c r="C186" s="5" t="n"/>
      <c r="D186" s="5" t="n"/>
      <c r="E186" s="5" t="n"/>
      <c r="F186" s="6" t="n"/>
      <c r="G186" s="6" t="n"/>
      <c r="H186" s="7">
        <f>IF(AND(F186="",G186=""),"", "Risk of """ &amp; F186 &amp; """ because of """ &amp; SUBSTITUTE(G186, ", ", """ and """) &amp; """")</f>
        <v/>
      </c>
      <c r="I186" s="5" t="n"/>
      <c r="J186" s="5" t="n"/>
      <c r="K186" s="5" t="n"/>
      <c r="L186" s="8">
        <f>IF(E186="Confidential", 4, IF(E186="Sensitive", 3, IF(E186="Private", 2, IF(E186="Public", 1, ""))))</f>
        <v/>
      </c>
      <c r="M186" s="5" t="n"/>
      <c r="N186" s="8">
        <f>IF(OR(L186="",M186=""), "", L186*M186)</f>
        <v/>
      </c>
      <c r="O186" s="8">
        <f>IF(N186="","", IF(N186&gt;6, "High", IF(N186&gt;=4, "Medium", "Low")))</f>
        <v/>
      </c>
      <c r="P186" s="6" t="n"/>
      <c r="Q186" s="5" t="n"/>
      <c r="R186" s="5" t="n"/>
      <c r="S186" s="5" t="n"/>
      <c r="T186" s="6" t="n"/>
      <c r="U186" s="6" t="n"/>
      <c r="V186" s="6" t="n"/>
      <c r="W186" s="6" t="n"/>
      <c r="X186" s="6" t="n"/>
      <c r="Y186" s="6" t="n"/>
    </row>
    <row r="187" ht="22" customHeight="1">
      <c r="A187" s="5" t="n"/>
      <c r="B187" s="6" t="n"/>
      <c r="C187" s="5" t="n"/>
      <c r="D187" s="5" t="n"/>
      <c r="E187" s="5" t="n"/>
      <c r="F187" s="6" t="n"/>
      <c r="G187" s="6" t="n"/>
      <c r="H187" s="7">
        <f>IF(AND(F187="",G187=""),"", "Risk of """ &amp; F187 &amp; """ because of """ &amp; SUBSTITUTE(G187, ", ", """ and """) &amp; """")</f>
        <v/>
      </c>
      <c r="I187" s="5" t="n"/>
      <c r="J187" s="5" t="n"/>
      <c r="K187" s="5" t="n"/>
      <c r="L187" s="8">
        <f>IF(E187="Confidential", 4, IF(E187="Sensitive", 3, IF(E187="Private", 2, IF(E187="Public", 1, ""))))</f>
        <v/>
      </c>
      <c r="M187" s="5" t="n"/>
      <c r="N187" s="8">
        <f>IF(OR(L187="",M187=""), "", L187*M187)</f>
        <v/>
      </c>
      <c r="O187" s="8">
        <f>IF(N187="","", IF(N187&gt;6, "High", IF(N187&gt;=4, "Medium", "Low")))</f>
        <v/>
      </c>
      <c r="P187" s="6" t="n"/>
      <c r="Q187" s="5" t="n"/>
      <c r="R187" s="5" t="n"/>
      <c r="S187" s="5" t="n"/>
      <c r="T187" s="6" t="n"/>
      <c r="U187" s="6" t="n"/>
      <c r="V187" s="6" t="n"/>
      <c r="W187" s="6" t="n"/>
      <c r="X187" s="6" t="n"/>
      <c r="Y187" s="6" t="n"/>
    </row>
    <row r="188" ht="22" customHeight="1">
      <c r="A188" s="5" t="n"/>
      <c r="B188" s="6" t="n"/>
      <c r="C188" s="5" t="n"/>
      <c r="D188" s="5" t="n"/>
      <c r="E188" s="5" t="n"/>
      <c r="F188" s="6" t="n"/>
      <c r="G188" s="6" t="n"/>
      <c r="H188" s="7">
        <f>IF(AND(F188="",G188=""),"", "Risk of """ &amp; F188 &amp; """ because of """ &amp; SUBSTITUTE(G188, ", ", """ and """) &amp; """")</f>
        <v/>
      </c>
      <c r="I188" s="5" t="n"/>
      <c r="J188" s="5" t="n"/>
      <c r="K188" s="5" t="n"/>
      <c r="L188" s="8">
        <f>IF(E188="Confidential", 4, IF(E188="Sensitive", 3, IF(E188="Private", 2, IF(E188="Public", 1, ""))))</f>
        <v/>
      </c>
      <c r="M188" s="5" t="n"/>
      <c r="N188" s="8">
        <f>IF(OR(L188="",M188=""), "", L188*M188)</f>
        <v/>
      </c>
      <c r="O188" s="8">
        <f>IF(N188="","", IF(N188&gt;6, "High", IF(N188&gt;=4, "Medium", "Low")))</f>
        <v/>
      </c>
      <c r="P188" s="6" t="n"/>
      <c r="Q188" s="5" t="n"/>
      <c r="R188" s="5" t="n"/>
      <c r="S188" s="5" t="n"/>
      <c r="T188" s="6" t="n"/>
      <c r="U188" s="6" t="n"/>
      <c r="V188" s="6" t="n"/>
      <c r="W188" s="6" t="n"/>
      <c r="X188" s="6" t="n"/>
      <c r="Y188" s="6" t="n"/>
    </row>
    <row r="189" ht="22" customHeight="1">
      <c r="A189" s="5" t="n"/>
      <c r="B189" s="6" t="n"/>
      <c r="C189" s="5" t="n"/>
      <c r="D189" s="5" t="n"/>
      <c r="E189" s="5" t="n"/>
      <c r="F189" s="6" t="n"/>
      <c r="G189" s="6" t="n"/>
      <c r="H189" s="7">
        <f>IF(AND(F189="",G189=""),"", "Risk of """ &amp; F189 &amp; """ because of """ &amp; SUBSTITUTE(G189, ", ", """ and """) &amp; """")</f>
        <v/>
      </c>
      <c r="I189" s="5" t="n"/>
      <c r="J189" s="5" t="n"/>
      <c r="K189" s="5" t="n"/>
      <c r="L189" s="8">
        <f>IF(E189="Confidential", 4, IF(E189="Sensitive", 3, IF(E189="Private", 2, IF(E189="Public", 1, ""))))</f>
        <v/>
      </c>
      <c r="M189" s="5" t="n"/>
      <c r="N189" s="8">
        <f>IF(OR(L189="",M189=""), "", L189*M189)</f>
        <v/>
      </c>
      <c r="O189" s="8">
        <f>IF(N189="","", IF(N189&gt;6, "High", IF(N189&gt;=4, "Medium", "Low")))</f>
        <v/>
      </c>
      <c r="P189" s="6" t="n"/>
      <c r="Q189" s="5" t="n"/>
      <c r="R189" s="5" t="n"/>
      <c r="S189" s="5" t="n"/>
      <c r="T189" s="6" t="n"/>
      <c r="U189" s="6" t="n"/>
      <c r="V189" s="6" t="n"/>
      <c r="W189" s="6" t="n"/>
      <c r="X189" s="6" t="n"/>
      <c r="Y189" s="6" t="n"/>
    </row>
    <row r="190" ht="22" customHeight="1">
      <c r="A190" s="5" t="n"/>
      <c r="B190" s="6" t="n"/>
      <c r="C190" s="5" t="n"/>
      <c r="D190" s="5" t="n"/>
      <c r="E190" s="5" t="n"/>
      <c r="F190" s="6" t="n"/>
      <c r="G190" s="6" t="n"/>
      <c r="H190" s="7">
        <f>IF(AND(F190="",G190=""),"", "Risk of """ &amp; F190 &amp; """ because of """ &amp; SUBSTITUTE(G190, ", ", """ and """) &amp; """")</f>
        <v/>
      </c>
      <c r="I190" s="5" t="n"/>
      <c r="J190" s="5" t="n"/>
      <c r="K190" s="5" t="n"/>
      <c r="L190" s="8">
        <f>IF(E190="Confidential", 4, IF(E190="Sensitive", 3, IF(E190="Private", 2, IF(E190="Public", 1, ""))))</f>
        <v/>
      </c>
      <c r="M190" s="5" t="n"/>
      <c r="N190" s="8">
        <f>IF(OR(L190="",M190=""), "", L190*M190)</f>
        <v/>
      </c>
      <c r="O190" s="8">
        <f>IF(N190="","", IF(N190&gt;6, "High", IF(N190&gt;=4, "Medium", "Low")))</f>
        <v/>
      </c>
      <c r="P190" s="6" t="n"/>
      <c r="Q190" s="5" t="n"/>
      <c r="R190" s="5" t="n"/>
      <c r="S190" s="5" t="n"/>
      <c r="T190" s="6" t="n"/>
      <c r="U190" s="6" t="n"/>
      <c r="V190" s="6" t="n"/>
      <c r="W190" s="6" t="n"/>
      <c r="X190" s="6" t="n"/>
      <c r="Y190" s="6" t="n"/>
    </row>
    <row r="191" ht="22" customHeight="1">
      <c r="A191" s="5" t="n"/>
      <c r="B191" s="6" t="n"/>
      <c r="C191" s="5" t="n"/>
      <c r="D191" s="5" t="n"/>
      <c r="E191" s="5" t="n"/>
      <c r="F191" s="6" t="n"/>
      <c r="G191" s="6" t="n"/>
      <c r="H191" s="7">
        <f>IF(AND(F191="",G191=""),"", "Risk of """ &amp; F191 &amp; """ because of """ &amp; SUBSTITUTE(G191, ", ", """ and """) &amp; """")</f>
        <v/>
      </c>
      <c r="I191" s="5" t="n"/>
      <c r="J191" s="5" t="n"/>
      <c r="K191" s="5" t="n"/>
      <c r="L191" s="8">
        <f>IF(E191="Confidential", 4, IF(E191="Sensitive", 3, IF(E191="Private", 2, IF(E191="Public", 1, ""))))</f>
        <v/>
      </c>
      <c r="M191" s="5" t="n"/>
      <c r="N191" s="8">
        <f>IF(OR(L191="",M191=""), "", L191*M191)</f>
        <v/>
      </c>
      <c r="O191" s="8">
        <f>IF(N191="","", IF(N191&gt;6, "High", IF(N191&gt;=4, "Medium", "Low")))</f>
        <v/>
      </c>
      <c r="P191" s="6" t="n"/>
      <c r="Q191" s="5" t="n"/>
      <c r="R191" s="5" t="n"/>
      <c r="S191" s="5" t="n"/>
      <c r="T191" s="6" t="n"/>
      <c r="U191" s="6" t="n"/>
      <c r="V191" s="6" t="n"/>
      <c r="W191" s="6" t="n"/>
      <c r="X191" s="6" t="n"/>
      <c r="Y191" s="6" t="n"/>
    </row>
    <row r="192" ht="22" customHeight="1">
      <c r="A192" s="5" t="n"/>
      <c r="B192" s="6" t="n"/>
      <c r="C192" s="5" t="n"/>
      <c r="D192" s="5" t="n"/>
      <c r="E192" s="5" t="n"/>
      <c r="F192" s="6" t="n"/>
      <c r="G192" s="6" t="n"/>
      <c r="H192" s="7">
        <f>IF(AND(F192="",G192=""),"", "Risk of """ &amp; F192 &amp; """ because of """ &amp; SUBSTITUTE(G192, ", ", """ and """) &amp; """")</f>
        <v/>
      </c>
      <c r="I192" s="5" t="n"/>
      <c r="J192" s="5" t="n"/>
      <c r="K192" s="5" t="n"/>
      <c r="L192" s="8">
        <f>IF(E192="Confidential", 4, IF(E192="Sensitive", 3, IF(E192="Private", 2, IF(E192="Public", 1, ""))))</f>
        <v/>
      </c>
      <c r="M192" s="5" t="n"/>
      <c r="N192" s="8">
        <f>IF(OR(L192="",M192=""), "", L192*M192)</f>
        <v/>
      </c>
      <c r="O192" s="8">
        <f>IF(N192="","", IF(N192&gt;6, "High", IF(N192&gt;=4, "Medium", "Low")))</f>
        <v/>
      </c>
      <c r="P192" s="6" t="n"/>
      <c r="Q192" s="5" t="n"/>
      <c r="R192" s="5" t="n"/>
      <c r="S192" s="5" t="n"/>
      <c r="T192" s="6" t="n"/>
      <c r="U192" s="6" t="n"/>
      <c r="V192" s="6" t="n"/>
      <c r="W192" s="6" t="n"/>
      <c r="X192" s="6" t="n"/>
      <c r="Y192" s="6" t="n"/>
    </row>
    <row r="193" ht="22" customHeight="1">
      <c r="A193" s="5" t="n"/>
      <c r="B193" s="6" t="n"/>
      <c r="C193" s="5" t="n"/>
      <c r="D193" s="5" t="n"/>
      <c r="E193" s="5" t="n"/>
      <c r="F193" s="6" t="n"/>
      <c r="G193" s="6" t="n"/>
      <c r="H193" s="7">
        <f>IF(AND(F193="",G193=""),"", "Risk of """ &amp; F193 &amp; """ because of """ &amp; SUBSTITUTE(G193, ", ", """ and """) &amp; """")</f>
        <v/>
      </c>
      <c r="I193" s="5" t="n"/>
      <c r="J193" s="5" t="n"/>
      <c r="K193" s="5" t="n"/>
      <c r="L193" s="8">
        <f>IF(E193="Confidential", 4, IF(E193="Sensitive", 3, IF(E193="Private", 2, IF(E193="Public", 1, ""))))</f>
        <v/>
      </c>
      <c r="M193" s="5" t="n"/>
      <c r="N193" s="8">
        <f>IF(OR(L193="",M193=""), "", L193*M193)</f>
        <v/>
      </c>
      <c r="O193" s="8">
        <f>IF(N193="","", IF(N193&gt;6, "High", IF(N193&gt;=4, "Medium", "Low")))</f>
        <v/>
      </c>
      <c r="P193" s="6" t="n"/>
      <c r="Q193" s="5" t="n"/>
      <c r="R193" s="5" t="n"/>
      <c r="S193" s="5" t="n"/>
      <c r="T193" s="6" t="n"/>
      <c r="U193" s="6" t="n"/>
      <c r="V193" s="6" t="n"/>
      <c r="W193" s="6" t="n"/>
      <c r="X193" s="6" t="n"/>
      <c r="Y193" s="6" t="n"/>
    </row>
    <row r="194" ht="22" customHeight="1">
      <c r="A194" s="5" t="n"/>
      <c r="B194" s="6" t="n"/>
      <c r="C194" s="5" t="n"/>
      <c r="D194" s="5" t="n"/>
      <c r="E194" s="5" t="n"/>
      <c r="F194" s="6" t="n"/>
      <c r="G194" s="6" t="n"/>
      <c r="H194" s="7">
        <f>IF(AND(F194="",G194=""),"", "Risk of """ &amp; F194 &amp; """ because of """ &amp; SUBSTITUTE(G194, ", ", """ and """) &amp; """")</f>
        <v/>
      </c>
      <c r="I194" s="5" t="n"/>
      <c r="J194" s="5" t="n"/>
      <c r="K194" s="5" t="n"/>
      <c r="L194" s="8">
        <f>IF(E194="Confidential", 4, IF(E194="Sensitive", 3, IF(E194="Private", 2, IF(E194="Public", 1, ""))))</f>
        <v/>
      </c>
      <c r="M194" s="5" t="n"/>
      <c r="N194" s="8">
        <f>IF(OR(L194="",M194=""), "", L194*M194)</f>
        <v/>
      </c>
      <c r="O194" s="8">
        <f>IF(N194="","", IF(N194&gt;6, "High", IF(N194&gt;=4, "Medium", "Low")))</f>
        <v/>
      </c>
      <c r="P194" s="6" t="n"/>
      <c r="Q194" s="5" t="n"/>
      <c r="R194" s="5" t="n"/>
      <c r="S194" s="5" t="n"/>
      <c r="T194" s="6" t="n"/>
      <c r="U194" s="6" t="n"/>
      <c r="V194" s="6" t="n"/>
      <c r="W194" s="6" t="n"/>
      <c r="X194" s="6" t="n"/>
      <c r="Y194" s="6" t="n"/>
    </row>
    <row r="195" ht="22" customHeight="1">
      <c r="A195" s="5" t="n"/>
      <c r="B195" s="6" t="n"/>
      <c r="C195" s="5" t="n"/>
      <c r="D195" s="5" t="n"/>
      <c r="E195" s="5" t="n"/>
      <c r="F195" s="6" t="n"/>
      <c r="G195" s="6" t="n"/>
      <c r="H195" s="7">
        <f>IF(AND(F195="",G195=""),"", "Risk of """ &amp; F195 &amp; """ because of """ &amp; SUBSTITUTE(G195, ", ", """ and """) &amp; """")</f>
        <v/>
      </c>
      <c r="I195" s="5" t="n"/>
      <c r="J195" s="5" t="n"/>
      <c r="K195" s="5" t="n"/>
      <c r="L195" s="8">
        <f>IF(E195="Confidential", 4, IF(E195="Sensitive", 3, IF(E195="Private", 2, IF(E195="Public", 1, ""))))</f>
        <v/>
      </c>
      <c r="M195" s="5" t="n"/>
      <c r="N195" s="8">
        <f>IF(OR(L195="",M195=""), "", L195*M195)</f>
        <v/>
      </c>
      <c r="O195" s="8">
        <f>IF(N195="","", IF(N195&gt;6, "High", IF(N195&gt;=4, "Medium", "Low")))</f>
        <v/>
      </c>
      <c r="P195" s="6" t="n"/>
      <c r="Q195" s="5" t="n"/>
      <c r="R195" s="5" t="n"/>
      <c r="S195" s="5" t="n"/>
      <c r="T195" s="6" t="n"/>
      <c r="U195" s="6" t="n"/>
      <c r="V195" s="6" t="n"/>
      <c r="W195" s="6" t="n"/>
      <c r="X195" s="6" t="n"/>
      <c r="Y195" s="6" t="n"/>
    </row>
    <row r="196" ht="22" customHeight="1">
      <c r="A196" s="5" t="n"/>
      <c r="B196" s="6" t="n"/>
      <c r="C196" s="5" t="n"/>
      <c r="D196" s="5" t="n"/>
      <c r="E196" s="5" t="n"/>
      <c r="F196" s="6" t="n"/>
      <c r="G196" s="6" t="n"/>
      <c r="H196" s="7">
        <f>IF(AND(F196="",G196=""),"", "Risk of """ &amp; F196 &amp; """ because of """ &amp; SUBSTITUTE(G196, ", ", """ and """) &amp; """")</f>
        <v/>
      </c>
      <c r="I196" s="5" t="n"/>
      <c r="J196" s="5" t="n"/>
      <c r="K196" s="5" t="n"/>
      <c r="L196" s="8">
        <f>IF(E196="Confidential", 4, IF(E196="Sensitive", 3, IF(E196="Private", 2, IF(E196="Public", 1, ""))))</f>
        <v/>
      </c>
      <c r="M196" s="5" t="n"/>
      <c r="N196" s="8">
        <f>IF(OR(L196="",M196=""), "", L196*M196)</f>
        <v/>
      </c>
      <c r="O196" s="8">
        <f>IF(N196="","", IF(N196&gt;6, "High", IF(N196&gt;=4, "Medium", "Low")))</f>
        <v/>
      </c>
      <c r="P196" s="6" t="n"/>
      <c r="Q196" s="5" t="n"/>
      <c r="R196" s="5" t="n"/>
      <c r="S196" s="5" t="n"/>
      <c r="T196" s="6" t="n"/>
      <c r="U196" s="6" t="n"/>
      <c r="V196" s="6" t="n"/>
      <c r="W196" s="6" t="n"/>
      <c r="X196" s="6" t="n"/>
      <c r="Y196" s="6" t="n"/>
    </row>
    <row r="197" ht="22" customHeight="1">
      <c r="A197" s="5" t="n"/>
      <c r="B197" s="6" t="n"/>
      <c r="C197" s="5" t="n"/>
      <c r="D197" s="5" t="n"/>
      <c r="E197" s="5" t="n"/>
      <c r="F197" s="6" t="n"/>
      <c r="G197" s="6" t="n"/>
      <c r="H197" s="7">
        <f>IF(AND(F197="",G197=""),"", "Risk of """ &amp; F197 &amp; """ because of """ &amp; SUBSTITUTE(G197, ", ", """ and """) &amp; """")</f>
        <v/>
      </c>
      <c r="I197" s="5" t="n"/>
      <c r="J197" s="5" t="n"/>
      <c r="K197" s="5" t="n"/>
      <c r="L197" s="8">
        <f>IF(E197="Confidential", 4, IF(E197="Sensitive", 3, IF(E197="Private", 2, IF(E197="Public", 1, ""))))</f>
        <v/>
      </c>
      <c r="M197" s="5" t="n"/>
      <c r="N197" s="8">
        <f>IF(OR(L197="",M197=""), "", L197*M197)</f>
        <v/>
      </c>
      <c r="O197" s="8">
        <f>IF(N197="","", IF(N197&gt;6, "High", IF(N197&gt;=4, "Medium", "Low")))</f>
        <v/>
      </c>
      <c r="P197" s="6" t="n"/>
      <c r="Q197" s="5" t="n"/>
      <c r="R197" s="5" t="n"/>
      <c r="S197" s="5" t="n"/>
      <c r="T197" s="6" t="n"/>
      <c r="U197" s="6" t="n"/>
      <c r="V197" s="6" t="n"/>
      <c r="W197" s="6" t="n"/>
      <c r="X197" s="6" t="n"/>
      <c r="Y197" s="6" t="n"/>
    </row>
    <row r="198" ht="22" customHeight="1">
      <c r="A198" s="5" t="n"/>
      <c r="B198" s="6" t="n"/>
      <c r="C198" s="5" t="n"/>
      <c r="D198" s="5" t="n"/>
      <c r="E198" s="5" t="n"/>
      <c r="F198" s="6" t="n"/>
      <c r="G198" s="6" t="n"/>
      <c r="H198" s="7">
        <f>IF(AND(F198="",G198=""),"", "Risk of """ &amp; F198 &amp; """ because of """ &amp; SUBSTITUTE(G198, ", ", """ and """) &amp; """")</f>
        <v/>
      </c>
      <c r="I198" s="5" t="n"/>
      <c r="J198" s="5" t="n"/>
      <c r="K198" s="5" t="n"/>
      <c r="L198" s="8">
        <f>IF(E198="Confidential", 4, IF(E198="Sensitive", 3, IF(E198="Private", 2, IF(E198="Public", 1, ""))))</f>
        <v/>
      </c>
      <c r="M198" s="5" t="n"/>
      <c r="N198" s="8">
        <f>IF(OR(L198="",M198=""), "", L198*M198)</f>
        <v/>
      </c>
      <c r="O198" s="8">
        <f>IF(N198="","", IF(N198&gt;6, "High", IF(N198&gt;=4, "Medium", "Low")))</f>
        <v/>
      </c>
      <c r="P198" s="6" t="n"/>
      <c r="Q198" s="5" t="n"/>
      <c r="R198" s="5" t="n"/>
      <c r="S198" s="5" t="n"/>
      <c r="T198" s="6" t="n"/>
      <c r="U198" s="6" t="n"/>
      <c r="V198" s="6" t="n"/>
      <c r="W198" s="6" t="n"/>
      <c r="X198" s="6" t="n"/>
      <c r="Y198" s="6" t="n"/>
    </row>
    <row r="199" ht="22" customHeight="1">
      <c r="A199" s="5" t="n"/>
      <c r="B199" s="6" t="n"/>
      <c r="C199" s="5" t="n"/>
      <c r="D199" s="5" t="n"/>
      <c r="E199" s="5" t="n"/>
      <c r="F199" s="6" t="n"/>
      <c r="G199" s="6" t="n"/>
      <c r="H199" s="7">
        <f>IF(AND(F199="",G199=""),"", "Risk of """ &amp; F199 &amp; """ because of """ &amp; SUBSTITUTE(G199, ", ", """ and """) &amp; """")</f>
        <v/>
      </c>
      <c r="I199" s="5" t="n"/>
      <c r="J199" s="5" t="n"/>
      <c r="K199" s="5" t="n"/>
      <c r="L199" s="8">
        <f>IF(E199="Confidential", 4, IF(E199="Sensitive", 3, IF(E199="Private", 2, IF(E199="Public", 1, ""))))</f>
        <v/>
      </c>
      <c r="M199" s="5" t="n"/>
      <c r="N199" s="8">
        <f>IF(OR(L199="",M199=""), "", L199*M199)</f>
        <v/>
      </c>
      <c r="O199" s="8">
        <f>IF(N199="","", IF(N199&gt;6, "High", IF(N199&gt;=4, "Medium", "Low")))</f>
        <v/>
      </c>
      <c r="P199" s="6" t="n"/>
      <c r="Q199" s="5" t="n"/>
      <c r="R199" s="5" t="n"/>
      <c r="S199" s="5" t="n"/>
      <c r="T199" s="6" t="n"/>
      <c r="U199" s="6" t="n"/>
      <c r="V199" s="6" t="n"/>
      <c r="W199" s="6" t="n"/>
      <c r="X199" s="6" t="n"/>
      <c r="Y199" s="6" t="n"/>
    </row>
    <row r="200" ht="22" customHeight="1">
      <c r="A200" s="5" t="n"/>
      <c r="B200" s="6" t="n"/>
      <c r="C200" s="5" t="n"/>
      <c r="D200" s="5" t="n"/>
      <c r="E200" s="5" t="n"/>
      <c r="F200" s="6" t="n"/>
      <c r="G200" s="6" t="n"/>
      <c r="H200" s="7">
        <f>IF(AND(F200="",G200=""),"", "Risk of """ &amp; F200 &amp; """ because of """ &amp; SUBSTITUTE(G200, ", ", """ and """) &amp; """")</f>
        <v/>
      </c>
      <c r="I200" s="5" t="n"/>
      <c r="J200" s="5" t="n"/>
      <c r="K200" s="5" t="n"/>
      <c r="L200" s="8">
        <f>IF(E200="Confidential", 4, IF(E200="Sensitive", 3, IF(E200="Private", 2, IF(E200="Public", 1, ""))))</f>
        <v/>
      </c>
      <c r="M200" s="5" t="n"/>
      <c r="N200" s="8">
        <f>IF(OR(L200="",M200=""), "", L200*M200)</f>
        <v/>
      </c>
      <c r="O200" s="8">
        <f>IF(N200="","", IF(N200&gt;6, "High", IF(N200&gt;=4, "Medium", "Low")))</f>
        <v/>
      </c>
      <c r="P200" s="6" t="n"/>
      <c r="Q200" s="5" t="n"/>
      <c r="R200" s="5" t="n"/>
      <c r="S200" s="5" t="n"/>
      <c r="T200" s="6" t="n"/>
      <c r="U200" s="6" t="n"/>
      <c r="V200" s="6" t="n"/>
      <c r="W200" s="6" t="n"/>
      <c r="X200" s="6" t="n"/>
      <c r="Y200" s="6" t="n"/>
    </row>
    <row r="201" ht="22" customHeight="1">
      <c r="A201" s="5" t="n"/>
      <c r="B201" s="6" t="n"/>
      <c r="C201" s="5" t="n"/>
      <c r="D201" s="5" t="n"/>
      <c r="E201" s="5" t="n"/>
      <c r="F201" s="6" t="n"/>
      <c r="G201" s="6" t="n"/>
      <c r="H201" s="7">
        <f>IF(AND(F201="",G201=""),"", "Risk of """ &amp; F201 &amp; """ because of """ &amp; SUBSTITUTE(G201, ", ", """ and """) &amp; """")</f>
        <v/>
      </c>
      <c r="I201" s="5" t="n"/>
      <c r="J201" s="5" t="n"/>
      <c r="K201" s="5" t="n"/>
      <c r="L201" s="8">
        <f>IF(E201="Confidential", 4, IF(E201="Sensitive", 3, IF(E201="Private", 2, IF(E201="Public", 1, ""))))</f>
        <v/>
      </c>
      <c r="M201" s="5" t="n"/>
      <c r="N201" s="8">
        <f>IF(OR(L201="",M201=""), "", L201*M201)</f>
        <v/>
      </c>
      <c r="O201" s="8">
        <f>IF(N201="","", IF(N201&gt;6, "High", IF(N201&gt;=4, "Medium", "Low")))</f>
        <v/>
      </c>
      <c r="P201" s="6" t="n"/>
      <c r="Q201" s="5" t="n"/>
      <c r="R201" s="5" t="n"/>
      <c r="S201" s="5" t="n"/>
      <c r="T201" s="6" t="n"/>
      <c r="U201" s="6" t="n"/>
      <c r="V201" s="6" t="n"/>
      <c r="W201" s="6" t="n"/>
      <c r="X201" s="6" t="n"/>
      <c r="Y201" s="6" t="n"/>
    </row>
    <row r="202" ht="22" customHeight="1">
      <c r="A202" s="5" t="n"/>
      <c r="B202" s="6" t="n"/>
      <c r="C202" s="5" t="n"/>
      <c r="D202" s="5" t="n"/>
      <c r="E202" s="5" t="n"/>
      <c r="F202" s="6" t="n"/>
      <c r="G202" s="6" t="n"/>
      <c r="H202" s="7">
        <f>IF(AND(F202="",G202=""),"", "Risk of """ &amp; F202 &amp; """ because of """ &amp; SUBSTITUTE(G202, ", ", """ and """) &amp; """")</f>
        <v/>
      </c>
      <c r="I202" s="5" t="n"/>
      <c r="J202" s="5" t="n"/>
      <c r="K202" s="5" t="n"/>
      <c r="L202" s="8">
        <f>IF(E202="Confidential", 4, IF(E202="Sensitive", 3, IF(E202="Private", 2, IF(E202="Public", 1, ""))))</f>
        <v/>
      </c>
      <c r="M202" s="5" t="n"/>
      <c r="N202" s="8">
        <f>IF(OR(L202="",M202=""), "", L202*M202)</f>
        <v/>
      </c>
      <c r="O202" s="8">
        <f>IF(N202="","", IF(N202&gt;6, "High", IF(N202&gt;=4, "Medium", "Low")))</f>
        <v/>
      </c>
      <c r="P202" s="6" t="n"/>
      <c r="Q202" s="5" t="n"/>
      <c r="R202" s="5" t="n"/>
      <c r="S202" s="5" t="n"/>
      <c r="T202" s="6" t="n"/>
      <c r="U202" s="6" t="n"/>
      <c r="V202" s="6" t="n"/>
      <c r="W202" s="6" t="n"/>
      <c r="X202" s="6" t="n"/>
      <c r="Y202" s="6" t="n"/>
    </row>
    <row r="203" ht="22" customHeight="1">
      <c r="A203" s="5" t="n"/>
      <c r="B203" s="6" t="n"/>
      <c r="C203" s="5" t="n"/>
      <c r="D203" s="5" t="n"/>
      <c r="E203" s="5" t="n"/>
      <c r="F203" s="6" t="n"/>
      <c r="G203" s="6" t="n"/>
      <c r="H203" s="7">
        <f>IF(AND(F203="",G203=""),"", "Risk of """ &amp; F203 &amp; """ because of """ &amp; SUBSTITUTE(G203, ", ", """ and """) &amp; """")</f>
        <v/>
      </c>
      <c r="I203" s="5" t="n"/>
      <c r="J203" s="5" t="n"/>
      <c r="K203" s="5" t="n"/>
      <c r="L203" s="8">
        <f>IF(E203="Confidential", 4, IF(E203="Sensitive", 3, IF(E203="Private", 2, IF(E203="Public", 1, ""))))</f>
        <v/>
      </c>
      <c r="M203" s="5" t="n"/>
      <c r="N203" s="8">
        <f>IF(OR(L203="",M203=""), "", L203*M203)</f>
        <v/>
      </c>
      <c r="O203" s="8">
        <f>IF(N203="","", IF(N203&gt;6, "High", IF(N203&gt;=4, "Medium", "Low")))</f>
        <v/>
      </c>
      <c r="P203" s="6" t="n"/>
      <c r="Q203" s="5" t="n"/>
      <c r="R203" s="5" t="n"/>
      <c r="S203" s="5" t="n"/>
      <c r="T203" s="6" t="n"/>
      <c r="U203" s="6" t="n"/>
      <c r="V203" s="6" t="n"/>
      <c r="W203" s="6" t="n"/>
      <c r="X203" s="6" t="n"/>
      <c r="Y203" s="6" t="n"/>
    </row>
    <row r="204" ht="22" customHeight="1">
      <c r="A204" s="5" t="n"/>
      <c r="B204" s="6" t="n"/>
      <c r="C204" s="5" t="n"/>
      <c r="D204" s="5" t="n"/>
      <c r="E204" s="5" t="n"/>
      <c r="F204" s="6" t="n"/>
      <c r="G204" s="6" t="n"/>
      <c r="H204" s="7">
        <f>IF(AND(F204="",G204=""),"", "Risk of """ &amp; F204 &amp; """ because of """ &amp; SUBSTITUTE(G204, ", ", """ and """) &amp; """")</f>
        <v/>
      </c>
      <c r="I204" s="5" t="n"/>
      <c r="J204" s="5" t="n"/>
      <c r="K204" s="5" t="n"/>
      <c r="L204" s="8">
        <f>IF(E204="Confidential", 4, IF(E204="Sensitive", 3, IF(E204="Private", 2, IF(E204="Public", 1, ""))))</f>
        <v/>
      </c>
      <c r="M204" s="5" t="n"/>
      <c r="N204" s="8">
        <f>IF(OR(L204="",M204=""), "", L204*M204)</f>
        <v/>
      </c>
      <c r="O204" s="8">
        <f>IF(N204="","", IF(N204&gt;6, "High", IF(N204&gt;=4, "Medium", "Low")))</f>
        <v/>
      </c>
      <c r="P204" s="6" t="n"/>
      <c r="Q204" s="5" t="n"/>
      <c r="R204" s="5" t="n"/>
      <c r="S204" s="5" t="n"/>
      <c r="T204" s="6" t="n"/>
      <c r="U204" s="6" t="n"/>
      <c r="V204" s="6" t="n"/>
      <c r="W204" s="6" t="n"/>
      <c r="X204" s="6" t="n"/>
      <c r="Y204" s="6" t="n"/>
    </row>
    <row r="205" ht="22" customHeight="1">
      <c r="A205" s="5" t="n"/>
      <c r="B205" s="6" t="n"/>
      <c r="C205" s="5" t="n"/>
      <c r="D205" s="5" t="n"/>
      <c r="E205" s="5" t="n"/>
      <c r="F205" s="6" t="n"/>
      <c r="G205" s="6" t="n"/>
      <c r="H205" s="7">
        <f>IF(AND(F205="",G205=""),"", "Risk of """ &amp; F205 &amp; """ because of """ &amp; SUBSTITUTE(G205, ", ", """ and """) &amp; """")</f>
        <v/>
      </c>
      <c r="I205" s="5" t="n"/>
      <c r="J205" s="5" t="n"/>
      <c r="K205" s="5" t="n"/>
      <c r="L205" s="8">
        <f>IF(E205="Confidential", 4, IF(E205="Sensitive", 3, IF(E205="Private", 2, IF(E205="Public", 1, ""))))</f>
        <v/>
      </c>
      <c r="M205" s="5" t="n"/>
      <c r="N205" s="8">
        <f>IF(OR(L205="",M205=""), "", L205*M205)</f>
        <v/>
      </c>
      <c r="O205" s="8">
        <f>IF(N205="","", IF(N205&gt;6, "High", IF(N205&gt;=4, "Medium", "Low")))</f>
        <v/>
      </c>
      <c r="P205" s="6" t="n"/>
      <c r="Q205" s="5" t="n"/>
      <c r="R205" s="5" t="n"/>
      <c r="S205" s="5" t="n"/>
      <c r="T205" s="6" t="n"/>
      <c r="U205" s="6" t="n"/>
      <c r="V205" s="6" t="n"/>
      <c r="W205" s="6" t="n"/>
      <c r="X205" s="6" t="n"/>
      <c r="Y205" s="6" t="n"/>
    </row>
    <row r="206" ht="22" customHeight="1">
      <c r="A206" s="5" t="n"/>
      <c r="B206" s="6" t="n"/>
      <c r="C206" s="5" t="n"/>
      <c r="D206" s="5" t="n"/>
      <c r="E206" s="5" t="n"/>
      <c r="F206" s="6" t="n"/>
      <c r="G206" s="6" t="n"/>
      <c r="H206" s="7">
        <f>IF(AND(F206="",G206=""),"", "Risk of """ &amp; F206 &amp; """ because of """ &amp; SUBSTITUTE(G206, ", ", """ and """) &amp; """")</f>
        <v/>
      </c>
      <c r="I206" s="5" t="n"/>
      <c r="J206" s="5" t="n"/>
      <c r="K206" s="5" t="n"/>
      <c r="L206" s="8">
        <f>IF(E206="Confidential", 4, IF(E206="Sensitive", 3, IF(E206="Private", 2, IF(E206="Public", 1, ""))))</f>
        <v/>
      </c>
      <c r="M206" s="5" t="n"/>
      <c r="N206" s="8">
        <f>IF(OR(L206="",M206=""), "", L206*M206)</f>
        <v/>
      </c>
      <c r="O206" s="8">
        <f>IF(N206="","", IF(N206&gt;6, "High", IF(N206&gt;=4, "Medium", "Low")))</f>
        <v/>
      </c>
      <c r="P206" s="6" t="n"/>
      <c r="Q206" s="5" t="n"/>
      <c r="R206" s="5" t="n"/>
      <c r="S206" s="5" t="n"/>
      <c r="T206" s="6" t="n"/>
      <c r="U206" s="6" t="n"/>
      <c r="V206" s="6" t="n"/>
      <c r="W206" s="6" t="n"/>
      <c r="X206" s="6" t="n"/>
      <c r="Y206" s="6" t="n"/>
    </row>
    <row r="207" ht="22" customHeight="1">
      <c r="A207" s="5" t="n"/>
      <c r="B207" s="6" t="n"/>
      <c r="C207" s="5" t="n"/>
      <c r="D207" s="5" t="n"/>
      <c r="E207" s="5" t="n"/>
      <c r="F207" s="6" t="n"/>
      <c r="G207" s="6" t="n"/>
      <c r="H207" s="7">
        <f>IF(AND(F207="",G207=""),"", "Risk of """ &amp; F207 &amp; """ because of """ &amp; SUBSTITUTE(G207, ", ", """ and """) &amp; """")</f>
        <v/>
      </c>
      <c r="I207" s="5" t="n"/>
      <c r="J207" s="5" t="n"/>
      <c r="K207" s="5" t="n"/>
      <c r="L207" s="8">
        <f>IF(E207="Confidential", 4, IF(E207="Sensitive", 3, IF(E207="Private", 2, IF(E207="Public", 1, ""))))</f>
        <v/>
      </c>
      <c r="M207" s="5" t="n"/>
      <c r="N207" s="8">
        <f>IF(OR(L207="",M207=""), "", L207*M207)</f>
        <v/>
      </c>
      <c r="O207" s="8">
        <f>IF(N207="","", IF(N207&gt;6, "High", IF(N207&gt;=4, "Medium", "Low")))</f>
        <v/>
      </c>
      <c r="P207" s="6" t="n"/>
      <c r="Q207" s="5" t="n"/>
      <c r="R207" s="5" t="n"/>
      <c r="S207" s="5" t="n"/>
      <c r="T207" s="6" t="n"/>
      <c r="U207" s="6" t="n"/>
      <c r="V207" s="6" t="n"/>
      <c r="W207" s="6" t="n"/>
      <c r="X207" s="6" t="n"/>
      <c r="Y207" s="6" t="n"/>
    </row>
    <row r="208" ht="22" customHeight="1">
      <c r="A208" s="5" t="n"/>
      <c r="B208" s="6" t="n"/>
      <c r="C208" s="5" t="n"/>
      <c r="D208" s="5" t="n"/>
      <c r="E208" s="5" t="n"/>
      <c r="F208" s="6" t="n"/>
      <c r="G208" s="6" t="n"/>
      <c r="H208" s="7">
        <f>IF(AND(F208="",G208=""),"", "Risk of """ &amp; F208 &amp; """ because of """ &amp; SUBSTITUTE(G208, ", ", """ and """) &amp; """")</f>
        <v/>
      </c>
      <c r="I208" s="5" t="n"/>
      <c r="J208" s="5" t="n"/>
      <c r="K208" s="5" t="n"/>
      <c r="L208" s="8">
        <f>IF(E208="Confidential", 4, IF(E208="Sensitive", 3, IF(E208="Private", 2, IF(E208="Public", 1, ""))))</f>
        <v/>
      </c>
      <c r="M208" s="5" t="n"/>
      <c r="N208" s="8">
        <f>IF(OR(L208="",M208=""), "", L208*M208)</f>
        <v/>
      </c>
      <c r="O208" s="8">
        <f>IF(N208="","", IF(N208&gt;6, "High", IF(N208&gt;=4, "Medium", "Low")))</f>
        <v/>
      </c>
      <c r="P208" s="6" t="n"/>
      <c r="Q208" s="5" t="n"/>
      <c r="R208" s="5" t="n"/>
      <c r="S208" s="5" t="n"/>
      <c r="T208" s="6" t="n"/>
      <c r="U208" s="6" t="n"/>
      <c r="V208" s="6" t="n"/>
      <c r="W208" s="6" t="n"/>
      <c r="X208" s="6" t="n"/>
      <c r="Y208" s="6" t="n"/>
    </row>
    <row r="209" ht="22" customHeight="1">
      <c r="A209" s="5" t="n"/>
      <c r="B209" s="6" t="n"/>
      <c r="C209" s="5" t="n"/>
      <c r="D209" s="5" t="n"/>
      <c r="E209" s="5" t="n"/>
      <c r="F209" s="6" t="n"/>
      <c r="G209" s="6" t="n"/>
      <c r="H209" s="7">
        <f>IF(AND(F209="",G209=""),"", "Risk of """ &amp; F209 &amp; """ because of """ &amp; SUBSTITUTE(G209, ", ", """ and """) &amp; """")</f>
        <v/>
      </c>
      <c r="I209" s="5" t="n"/>
      <c r="J209" s="5" t="n"/>
      <c r="K209" s="5" t="n"/>
      <c r="L209" s="8">
        <f>IF(E209="Confidential", 4, IF(E209="Sensitive", 3, IF(E209="Private", 2, IF(E209="Public", 1, ""))))</f>
        <v/>
      </c>
      <c r="M209" s="5" t="n"/>
      <c r="N209" s="8">
        <f>IF(OR(L209="",M209=""), "", L209*M209)</f>
        <v/>
      </c>
      <c r="O209" s="8">
        <f>IF(N209="","", IF(N209&gt;6, "High", IF(N209&gt;=4, "Medium", "Low")))</f>
        <v/>
      </c>
      <c r="P209" s="6" t="n"/>
      <c r="Q209" s="5" t="n"/>
      <c r="R209" s="5" t="n"/>
      <c r="S209" s="5" t="n"/>
      <c r="T209" s="6" t="n"/>
      <c r="U209" s="6" t="n"/>
      <c r="V209" s="6" t="n"/>
      <c r="W209" s="6" t="n"/>
      <c r="X209" s="6" t="n"/>
      <c r="Y209" s="6" t="n"/>
    </row>
    <row r="210" ht="22" customHeight="1">
      <c r="A210" s="5" t="n"/>
      <c r="B210" s="6" t="n"/>
      <c r="C210" s="5" t="n"/>
      <c r="D210" s="5" t="n"/>
      <c r="E210" s="5" t="n"/>
      <c r="F210" s="6" t="n"/>
      <c r="G210" s="6" t="n"/>
      <c r="H210" s="7">
        <f>IF(AND(F210="",G210=""),"", "Risk of """ &amp; F210 &amp; """ because of """ &amp; SUBSTITUTE(G210, ", ", """ and """) &amp; """")</f>
        <v/>
      </c>
      <c r="I210" s="5" t="n"/>
      <c r="J210" s="5" t="n"/>
      <c r="K210" s="5" t="n"/>
      <c r="L210" s="8">
        <f>IF(E210="Confidential", 4, IF(E210="Sensitive", 3, IF(E210="Private", 2, IF(E210="Public", 1, ""))))</f>
        <v/>
      </c>
      <c r="M210" s="5" t="n"/>
      <c r="N210" s="8">
        <f>IF(OR(L210="",M210=""), "", L210*M210)</f>
        <v/>
      </c>
      <c r="O210" s="8">
        <f>IF(N210="","", IF(N210&gt;6, "High", IF(N210&gt;=4, "Medium", "Low")))</f>
        <v/>
      </c>
      <c r="P210" s="6" t="n"/>
      <c r="Q210" s="5" t="n"/>
      <c r="R210" s="5" t="n"/>
      <c r="S210" s="5" t="n"/>
      <c r="T210" s="6" t="n"/>
      <c r="U210" s="6" t="n"/>
      <c r="V210" s="6" t="n"/>
      <c r="W210" s="6" t="n"/>
      <c r="X210" s="6" t="n"/>
      <c r="Y210" s="6" t="n"/>
    </row>
    <row r="211" ht="22" customHeight="1">
      <c r="A211" s="5" t="n"/>
      <c r="B211" s="6" t="n"/>
      <c r="C211" s="5" t="n"/>
      <c r="D211" s="5" t="n"/>
      <c r="E211" s="5" t="n"/>
      <c r="F211" s="6" t="n"/>
      <c r="G211" s="6" t="n"/>
      <c r="H211" s="7">
        <f>IF(AND(F211="",G211=""),"", "Risk of """ &amp; F211 &amp; """ because of """ &amp; SUBSTITUTE(G211, ", ", """ and """) &amp; """")</f>
        <v/>
      </c>
      <c r="I211" s="5" t="n"/>
      <c r="J211" s="5" t="n"/>
      <c r="K211" s="5" t="n"/>
      <c r="L211" s="8">
        <f>IF(E211="Confidential", 4, IF(E211="Sensitive", 3, IF(E211="Private", 2, IF(E211="Public", 1, ""))))</f>
        <v/>
      </c>
      <c r="M211" s="5" t="n"/>
      <c r="N211" s="8">
        <f>IF(OR(L211="",M211=""), "", L211*M211)</f>
        <v/>
      </c>
      <c r="O211" s="8">
        <f>IF(N211="","", IF(N211&gt;6, "High", IF(N211&gt;=4, "Medium", "Low")))</f>
        <v/>
      </c>
      <c r="P211" s="6" t="n"/>
      <c r="Q211" s="5" t="n"/>
      <c r="R211" s="5" t="n"/>
      <c r="S211" s="5" t="n"/>
      <c r="T211" s="6" t="n"/>
      <c r="U211" s="6" t="n"/>
      <c r="V211" s="6" t="n"/>
      <c r="W211" s="6" t="n"/>
      <c r="X211" s="6" t="n"/>
      <c r="Y211" s="6" t="n"/>
    </row>
    <row r="212" ht="22" customHeight="1">
      <c r="A212" s="5" t="n"/>
      <c r="B212" s="6" t="n"/>
      <c r="C212" s="5" t="n"/>
      <c r="D212" s="5" t="n"/>
      <c r="E212" s="5" t="n"/>
      <c r="F212" s="6" t="n"/>
      <c r="G212" s="6" t="n"/>
      <c r="H212" s="7">
        <f>IF(AND(F212="",G212=""),"", "Risk of """ &amp; F212 &amp; """ because of """ &amp; SUBSTITUTE(G212, ", ", """ and """) &amp; """")</f>
        <v/>
      </c>
      <c r="I212" s="5" t="n"/>
      <c r="J212" s="5" t="n"/>
      <c r="K212" s="5" t="n"/>
      <c r="L212" s="8">
        <f>IF(E212="Confidential", 4, IF(E212="Sensitive", 3, IF(E212="Private", 2, IF(E212="Public", 1, ""))))</f>
        <v/>
      </c>
      <c r="M212" s="5" t="n"/>
      <c r="N212" s="8">
        <f>IF(OR(L212="",M212=""), "", L212*M212)</f>
        <v/>
      </c>
      <c r="O212" s="8">
        <f>IF(N212="","", IF(N212&gt;6, "High", IF(N212&gt;=4, "Medium", "Low")))</f>
        <v/>
      </c>
      <c r="P212" s="6" t="n"/>
      <c r="Q212" s="5" t="n"/>
      <c r="R212" s="5" t="n"/>
      <c r="S212" s="5" t="n"/>
      <c r="T212" s="6" t="n"/>
      <c r="U212" s="6" t="n"/>
      <c r="V212" s="6" t="n"/>
      <c r="W212" s="6" t="n"/>
      <c r="X212" s="6" t="n"/>
      <c r="Y212" s="6" t="n"/>
    </row>
    <row r="213" ht="22" customHeight="1">
      <c r="A213" s="5" t="n"/>
      <c r="B213" s="6" t="n"/>
      <c r="C213" s="5" t="n"/>
      <c r="D213" s="5" t="n"/>
      <c r="E213" s="5" t="n"/>
      <c r="F213" s="6" t="n"/>
      <c r="G213" s="6" t="n"/>
      <c r="H213" s="7">
        <f>IF(AND(F213="",G213=""),"", "Risk of """ &amp; F213 &amp; """ because of """ &amp; SUBSTITUTE(G213, ", ", """ and """) &amp; """")</f>
        <v/>
      </c>
      <c r="I213" s="5" t="n"/>
      <c r="J213" s="5" t="n"/>
      <c r="K213" s="5" t="n"/>
      <c r="L213" s="8">
        <f>IF(E213="Confidential", 4, IF(E213="Sensitive", 3, IF(E213="Private", 2, IF(E213="Public", 1, ""))))</f>
        <v/>
      </c>
      <c r="M213" s="5" t="n"/>
      <c r="N213" s="8">
        <f>IF(OR(L213="",M213=""), "", L213*M213)</f>
        <v/>
      </c>
      <c r="O213" s="8">
        <f>IF(N213="","", IF(N213&gt;6, "High", IF(N213&gt;=4, "Medium", "Low")))</f>
        <v/>
      </c>
      <c r="P213" s="6" t="n"/>
      <c r="Q213" s="5" t="n"/>
      <c r="R213" s="5" t="n"/>
      <c r="S213" s="5" t="n"/>
      <c r="T213" s="6" t="n"/>
      <c r="U213" s="6" t="n"/>
      <c r="V213" s="6" t="n"/>
      <c r="W213" s="6" t="n"/>
      <c r="X213" s="6" t="n"/>
      <c r="Y213" s="6" t="n"/>
    </row>
    <row r="214" ht="22" customHeight="1">
      <c r="A214" s="5" t="n"/>
      <c r="B214" s="6" t="n"/>
      <c r="C214" s="5" t="n"/>
      <c r="D214" s="5" t="n"/>
      <c r="E214" s="5" t="n"/>
      <c r="F214" s="6" t="n"/>
      <c r="G214" s="6" t="n"/>
      <c r="H214" s="7">
        <f>IF(AND(F214="",G214=""),"", "Risk of """ &amp; F214 &amp; """ because of """ &amp; SUBSTITUTE(G214, ", ", """ and """) &amp; """")</f>
        <v/>
      </c>
      <c r="I214" s="5" t="n"/>
      <c r="J214" s="5" t="n"/>
      <c r="K214" s="5" t="n"/>
      <c r="L214" s="8">
        <f>IF(E214="Confidential", 4, IF(E214="Sensitive", 3, IF(E214="Private", 2, IF(E214="Public", 1, ""))))</f>
        <v/>
      </c>
      <c r="M214" s="5" t="n"/>
      <c r="N214" s="8">
        <f>IF(OR(L214="",M214=""), "", L214*M214)</f>
        <v/>
      </c>
      <c r="O214" s="8">
        <f>IF(N214="","", IF(N214&gt;6, "High", IF(N214&gt;=4, "Medium", "Low")))</f>
        <v/>
      </c>
      <c r="P214" s="6" t="n"/>
      <c r="Q214" s="5" t="n"/>
      <c r="R214" s="5" t="n"/>
      <c r="S214" s="5" t="n"/>
      <c r="T214" s="6" t="n"/>
      <c r="U214" s="6" t="n"/>
      <c r="V214" s="6" t="n"/>
      <c r="W214" s="6" t="n"/>
      <c r="X214" s="6" t="n"/>
      <c r="Y214" s="6" t="n"/>
    </row>
    <row r="215" ht="22" customHeight="1">
      <c r="A215" s="5" t="n"/>
      <c r="B215" s="6" t="n"/>
      <c r="C215" s="5" t="n"/>
      <c r="D215" s="5" t="n"/>
      <c r="E215" s="5" t="n"/>
      <c r="F215" s="6" t="n"/>
      <c r="G215" s="6" t="n"/>
      <c r="H215" s="7">
        <f>IF(AND(F215="",G215=""),"", "Risk of """ &amp; F215 &amp; """ because of """ &amp; SUBSTITUTE(G215, ", ", """ and """) &amp; """")</f>
        <v/>
      </c>
      <c r="I215" s="5" t="n"/>
      <c r="J215" s="5" t="n"/>
      <c r="K215" s="5" t="n"/>
      <c r="L215" s="8">
        <f>IF(E215="Confidential", 4, IF(E215="Sensitive", 3, IF(E215="Private", 2, IF(E215="Public", 1, ""))))</f>
        <v/>
      </c>
      <c r="M215" s="5" t="n"/>
      <c r="N215" s="8">
        <f>IF(OR(L215="",M215=""), "", L215*M215)</f>
        <v/>
      </c>
      <c r="O215" s="8">
        <f>IF(N215="","", IF(N215&gt;6, "High", IF(N215&gt;=4, "Medium", "Low")))</f>
        <v/>
      </c>
      <c r="P215" s="6" t="n"/>
      <c r="Q215" s="5" t="n"/>
      <c r="R215" s="5" t="n"/>
      <c r="S215" s="5" t="n"/>
      <c r="T215" s="6" t="n"/>
      <c r="U215" s="6" t="n"/>
      <c r="V215" s="6" t="n"/>
      <c r="W215" s="6" t="n"/>
      <c r="X215" s="6" t="n"/>
      <c r="Y215" s="6" t="n"/>
    </row>
    <row r="216" ht="22" customHeight="1">
      <c r="A216" s="5" t="n"/>
      <c r="B216" s="6" t="n"/>
      <c r="C216" s="5" t="n"/>
      <c r="D216" s="5" t="n"/>
      <c r="E216" s="5" t="n"/>
      <c r="F216" s="6" t="n"/>
      <c r="G216" s="6" t="n"/>
      <c r="H216" s="7">
        <f>IF(AND(F216="",G216=""),"", "Risk of """ &amp; F216 &amp; """ because of """ &amp; SUBSTITUTE(G216, ", ", """ and """) &amp; """")</f>
        <v/>
      </c>
      <c r="I216" s="5" t="n"/>
      <c r="J216" s="5" t="n"/>
      <c r="K216" s="5" t="n"/>
      <c r="L216" s="8">
        <f>IF(E216="Confidential", 4, IF(E216="Sensitive", 3, IF(E216="Private", 2, IF(E216="Public", 1, ""))))</f>
        <v/>
      </c>
      <c r="M216" s="5" t="n"/>
      <c r="N216" s="8">
        <f>IF(OR(L216="",M216=""), "", L216*M216)</f>
        <v/>
      </c>
      <c r="O216" s="8">
        <f>IF(N216="","", IF(N216&gt;6, "High", IF(N216&gt;=4, "Medium", "Low")))</f>
        <v/>
      </c>
      <c r="P216" s="6" t="n"/>
      <c r="Q216" s="5" t="n"/>
      <c r="R216" s="5" t="n"/>
      <c r="S216" s="5" t="n"/>
      <c r="T216" s="6" t="n"/>
      <c r="U216" s="6" t="n"/>
      <c r="V216" s="6" t="n"/>
      <c r="W216" s="6" t="n"/>
      <c r="X216" s="6" t="n"/>
      <c r="Y216" s="6" t="n"/>
    </row>
    <row r="217" ht="22" customHeight="1">
      <c r="A217" s="5" t="n"/>
      <c r="B217" s="6" t="n"/>
      <c r="C217" s="5" t="n"/>
      <c r="D217" s="5" t="n"/>
      <c r="E217" s="5" t="n"/>
      <c r="F217" s="6" t="n"/>
      <c r="G217" s="6" t="n"/>
      <c r="H217" s="7">
        <f>IF(AND(F217="",G217=""),"", "Risk of """ &amp; F217 &amp; """ because of """ &amp; SUBSTITUTE(G217, ", ", """ and """) &amp; """")</f>
        <v/>
      </c>
      <c r="I217" s="5" t="n"/>
      <c r="J217" s="5" t="n"/>
      <c r="K217" s="5" t="n"/>
      <c r="L217" s="8">
        <f>IF(E217="Confidential", 4, IF(E217="Sensitive", 3, IF(E217="Private", 2, IF(E217="Public", 1, ""))))</f>
        <v/>
      </c>
      <c r="M217" s="5" t="n"/>
      <c r="N217" s="8">
        <f>IF(OR(L217="",M217=""), "", L217*M217)</f>
        <v/>
      </c>
      <c r="O217" s="8">
        <f>IF(N217="","", IF(N217&gt;6, "High", IF(N217&gt;=4, "Medium", "Low")))</f>
        <v/>
      </c>
      <c r="P217" s="6" t="n"/>
      <c r="Q217" s="5" t="n"/>
      <c r="R217" s="5" t="n"/>
      <c r="S217" s="5" t="n"/>
      <c r="T217" s="6" t="n"/>
      <c r="U217" s="6" t="n"/>
      <c r="V217" s="6" t="n"/>
      <c r="W217" s="6" t="n"/>
      <c r="X217" s="6" t="n"/>
      <c r="Y217" s="6" t="n"/>
    </row>
    <row r="218" ht="22" customHeight="1">
      <c r="A218" s="5" t="n"/>
      <c r="B218" s="6" t="n"/>
      <c r="C218" s="5" t="n"/>
      <c r="D218" s="5" t="n"/>
      <c r="E218" s="5" t="n"/>
      <c r="F218" s="6" t="n"/>
      <c r="G218" s="6" t="n"/>
      <c r="H218" s="7">
        <f>IF(AND(F218="",G218=""),"", "Risk of """ &amp; F218 &amp; """ because of """ &amp; SUBSTITUTE(G218, ", ", """ and """) &amp; """")</f>
        <v/>
      </c>
      <c r="I218" s="5" t="n"/>
      <c r="J218" s="5" t="n"/>
      <c r="K218" s="5" t="n"/>
      <c r="L218" s="8">
        <f>IF(E218="Confidential", 4, IF(E218="Sensitive", 3, IF(E218="Private", 2, IF(E218="Public", 1, ""))))</f>
        <v/>
      </c>
      <c r="M218" s="5" t="n"/>
      <c r="N218" s="8">
        <f>IF(OR(L218="",M218=""), "", L218*M218)</f>
        <v/>
      </c>
      <c r="O218" s="8">
        <f>IF(N218="","", IF(N218&gt;6, "High", IF(N218&gt;=4, "Medium", "Low")))</f>
        <v/>
      </c>
      <c r="P218" s="6" t="n"/>
      <c r="Q218" s="5" t="n"/>
      <c r="R218" s="5" t="n"/>
      <c r="S218" s="5" t="n"/>
      <c r="T218" s="6" t="n"/>
      <c r="U218" s="6" t="n"/>
      <c r="V218" s="6" t="n"/>
      <c r="W218" s="6" t="n"/>
      <c r="X218" s="6" t="n"/>
      <c r="Y218" s="6" t="n"/>
    </row>
    <row r="219" ht="22" customHeight="1">
      <c r="A219" s="5" t="n"/>
      <c r="B219" s="6" t="n"/>
      <c r="C219" s="5" t="n"/>
      <c r="D219" s="5" t="n"/>
      <c r="E219" s="5" t="n"/>
      <c r="F219" s="6" t="n"/>
      <c r="G219" s="6" t="n"/>
      <c r="H219" s="7">
        <f>IF(AND(F219="",G219=""),"", "Risk of """ &amp; F219 &amp; """ because of """ &amp; SUBSTITUTE(G219, ", ", """ and """) &amp; """")</f>
        <v/>
      </c>
      <c r="I219" s="5" t="n"/>
      <c r="J219" s="5" t="n"/>
      <c r="K219" s="5" t="n"/>
      <c r="L219" s="8">
        <f>IF(E219="Confidential", 4, IF(E219="Sensitive", 3, IF(E219="Private", 2, IF(E219="Public", 1, ""))))</f>
        <v/>
      </c>
      <c r="M219" s="5" t="n"/>
      <c r="N219" s="8">
        <f>IF(OR(L219="",M219=""), "", L219*M219)</f>
        <v/>
      </c>
      <c r="O219" s="8">
        <f>IF(N219="","", IF(N219&gt;6, "High", IF(N219&gt;=4, "Medium", "Low")))</f>
        <v/>
      </c>
      <c r="P219" s="6" t="n"/>
      <c r="Q219" s="5" t="n"/>
      <c r="R219" s="5" t="n"/>
      <c r="S219" s="5" t="n"/>
      <c r="T219" s="6" t="n"/>
      <c r="U219" s="6" t="n"/>
      <c r="V219" s="6" t="n"/>
      <c r="W219" s="6" t="n"/>
      <c r="X219" s="6" t="n"/>
      <c r="Y219" s="6" t="n"/>
    </row>
    <row r="220" ht="22" customHeight="1">
      <c r="A220" s="5" t="n"/>
      <c r="B220" s="6" t="n"/>
      <c r="C220" s="5" t="n"/>
      <c r="D220" s="5" t="n"/>
      <c r="E220" s="5" t="n"/>
      <c r="F220" s="6" t="n"/>
      <c r="G220" s="6" t="n"/>
      <c r="H220" s="7">
        <f>IF(AND(F220="",G220=""),"", "Risk of """ &amp; F220 &amp; """ because of """ &amp; SUBSTITUTE(G220, ", ", """ and """) &amp; """")</f>
        <v/>
      </c>
      <c r="I220" s="5" t="n"/>
      <c r="J220" s="5" t="n"/>
      <c r="K220" s="5" t="n"/>
      <c r="L220" s="8">
        <f>IF(E220="Confidential", 4, IF(E220="Sensitive", 3, IF(E220="Private", 2, IF(E220="Public", 1, ""))))</f>
        <v/>
      </c>
      <c r="M220" s="5" t="n"/>
      <c r="N220" s="8">
        <f>IF(OR(L220="",M220=""), "", L220*M220)</f>
        <v/>
      </c>
      <c r="O220" s="8">
        <f>IF(N220="","", IF(N220&gt;6, "High", IF(N220&gt;=4, "Medium", "Low")))</f>
        <v/>
      </c>
      <c r="P220" s="6" t="n"/>
      <c r="Q220" s="5" t="n"/>
      <c r="R220" s="5" t="n"/>
      <c r="S220" s="5" t="n"/>
      <c r="T220" s="6" t="n"/>
      <c r="U220" s="6" t="n"/>
      <c r="V220" s="6" t="n"/>
      <c r="W220" s="6" t="n"/>
      <c r="X220" s="6" t="n"/>
      <c r="Y220" s="6" t="n"/>
    </row>
    <row r="221" ht="22" customHeight="1">
      <c r="A221" s="5" t="n"/>
      <c r="B221" s="6" t="n"/>
      <c r="C221" s="5" t="n"/>
      <c r="D221" s="5" t="n"/>
      <c r="E221" s="5" t="n"/>
      <c r="F221" s="6" t="n"/>
      <c r="G221" s="6" t="n"/>
      <c r="H221" s="7">
        <f>IF(AND(F221="",G221=""),"", "Risk of """ &amp; F221 &amp; """ because of """ &amp; SUBSTITUTE(G221, ", ", """ and """) &amp; """")</f>
        <v/>
      </c>
      <c r="I221" s="5" t="n"/>
      <c r="J221" s="5" t="n"/>
      <c r="K221" s="5" t="n"/>
      <c r="L221" s="8">
        <f>IF(E221="Confidential", 4, IF(E221="Sensitive", 3, IF(E221="Private", 2, IF(E221="Public", 1, ""))))</f>
        <v/>
      </c>
      <c r="M221" s="5" t="n"/>
      <c r="N221" s="8">
        <f>IF(OR(L221="",M221=""), "", L221*M221)</f>
        <v/>
      </c>
      <c r="O221" s="8">
        <f>IF(N221="","", IF(N221&gt;6, "High", IF(N221&gt;=4, "Medium", "Low")))</f>
        <v/>
      </c>
      <c r="P221" s="6" t="n"/>
      <c r="Q221" s="5" t="n"/>
      <c r="R221" s="5" t="n"/>
      <c r="S221" s="5" t="n"/>
      <c r="T221" s="6" t="n"/>
      <c r="U221" s="6" t="n"/>
      <c r="V221" s="6" t="n"/>
      <c r="W221" s="6" t="n"/>
      <c r="X221" s="6" t="n"/>
      <c r="Y221" s="6" t="n"/>
    </row>
    <row r="222" ht="22" customHeight="1">
      <c r="A222" s="5" t="n"/>
      <c r="B222" s="6" t="n"/>
      <c r="C222" s="5" t="n"/>
      <c r="D222" s="5" t="n"/>
      <c r="E222" s="5" t="n"/>
      <c r="F222" s="6" t="n"/>
      <c r="G222" s="6" t="n"/>
      <c r="H222" s="7">
        <f>IF(AND(F222="",G222=""),"", "Risk of """ &amp; F222 &amp; """ because of """ &amp; SUBSTITUTE(G222, ", ", """ and """) &amp; """")</f>
        <v/>
      </c>
      <c r="I222" s="5" t="n"/>
      <c r="J222" s="5" t="n"/>
      <c r="K222" s="5" t="n"/>
      <c r="L222" s="8">
        <f>IF(E222="Confidential", 4, IF(E222="Sensitive", 3, IF(E222="Private", 2, IF(E222="Public", 1, ""))))</f>
        <v/>
      </c>
      <c r="M222" s="5" t="n"/>
      <c r="N222" s="8">
        <f>IF(OR(L222="",M222=""), "", L222*M222)</f>
        <v/>
      </c>
      <c r="O222" s="8">
        <f>IF(N222="","", IF(N222&gt;6, "High", IF(N222&gt;=4, "Medium", "Low")))</f>
        <v/>
      </c>
      <c r="P222" s="6" t="n"/>
      <c r="Q222" s="5" t="n"/>
      <c r="R222" s="5" t="n"/>
      <c r="S222" s="5" t="n"/>
      <c r="T222" s="6" t="n"/>
      <c r="U222" s="6" t="n"/>
      <c r="V222" s="6" t="n"/>
      <c r="W222" s="6" t="n"/>
      <c r="X222" s="6" t="n"/>
      <c r="Y222" s="6" t="n"/>
    </row>
    <row r="223" ht="22" customHeight="1">
      <c r="A223" s="5" t="n"/>
      <c r="B223" s="6" t="n"/>
      <c r="C223" s="5" t="n"/>
      <c r="D223" s="5" t="n"/>
      <c r="E223" s="5" t="n"/>
      <c r="F223" s="6" t="n"/>
      <c r="G223" s="6" t="n"/>
      <c r="H223" s="7">
        <f>IF(AND(F223="",G223=""),"", "Risk of """ &amp; F223 &amp; """ because of """ &amp; SUBSTITUTE(G223, ", ", """ and """) &amp; """")</f>
        <v/>
      </c>
      <c r="I223" s="5" t="n"/>
      <c r="J223" s="5" t="n"/>
      <c r="K223" s="5" t="n"/>
      <c r="L223" s="8">
        <f>IF(E223="Confidential", 4, IF(E223="Sensitive", 3, IF(E223="Private", 2, IF(E223="Public", 1, ""))))</f>
        <v/>
      </c>
      <c r="M223" s="5" t="n"/>
      <c r="N223" s="8">
        <f>IF(OR(L223="",M223=""), "", L223*M223)</f>
        <v/>
      </c>
      <c r="O223" s="8">
        <f>IF(N223="","", IF(N223&gt;6, "High", IF(N223&gt;=4, "Medium", "Low")))</f>
        <v/>
      </c>
      <c r="P223" s="6" t="n"/>
      <c r="Q223" s="5" t="n"/>
      <c r="R223" s="5" t="n"/>
      <c r="S223" s="5" t="n"/>
      <c r="T223" s="6" t="n"/>
      <c r="U223" s="6" t="n"/>
      <c r="V223" s="6" t="n"/>
      <c r="W223" s="6" t="n"/>
      <c r="X223" s="6" t="n"/>
      <c r="Y223" s="6" t="n"/>
    </row>
    <row r="224" ht="22" customHeight="1">
      <c r="A224" s="5" t="n"/>
      <c r="B224" s="6" t="n"/>
      <c r="C224" s="5" t="n"/>
      <c r="D224" s="5" t="n"/>
      <c r="E224" s="5" t="n"/>
      <c r="F224" s="6" t="n"/>
      <c r="G224" s="6" t="n"/>
      <c r="H224" s="7">
        <f>IF(AND(F224="",G224=""),"", "Risk of """ &amp; F224 &amp; """ because of """ &amp; SUBSTITUTE(G224, ", ", """ and """) &amp; """")</f>
        <v/>
      </c>
      <c r="I224" s="5" t="n"/>
      <c r="J224" s="5" t="n"/>
      <c r="K224" s="5" t="n"/>
      <c r="L224" s="8">
        <f>IF(E224="Confidential", 4, IF(E224="Sensitive", 3, IF(E224="Private", 2, IF(E224="Public", 1, ""))))</f>
        <v/>
      </c>
      <c r="M224" s="5" t="n"/>
      <c r="N224" s="8">
        <f>IF(OR(L224="",M224=""), "", L224*M224)</f>
        <v/>
      </c>
      <c r="O224" s="8">
        <f>IF(N224="","", IF(N224&gt;6, "High", IF(N224&gt;=4, "Medium", "Low")))</f>
        <v/>
      </c>
      <c r="P224" s="6" t="n"/>
      <c r="Q224" s="5" t="n"/>
      <c r="R224" s="5" t="n"/>
      <c r="S224" s="5" t="n"/>
      <c r="T224" s="6" t="n"/>
      <c r="U224" s="6" t="n"/>
      <c r="V224" s="6" t="n"/>
      <c r="W224" s="6" t="n"/>
      <c r="X224" s="6" t="n"/>
      <c r="Y224" s="6" t="n"/>
    </row>
    <row r="225" ht="22" customHeight="1">
      <c r="A225" s="5" t="n"/>
      <c r="B225" s="6" t="n"/>
      <c r="C225" s="5" t="n"/>
      <c r="D225" s="5" t="n"/>
      <c r="E225" s="5" t="n"/>
      <c r="F225" s="6" t="n"/>
      <c r="G225" s="6" t="n"/>
      <c r="H225" s="7">
        <f>IF(AND(F225="",G225=""),"", "Risk of """ &amp; F225 &amp; """ because of """ &amp; SUBSTITUTE(G225, ", ", """ and """) &amp; """")</f>
        <v/>
      </c>
      <c r="I225" s="5" t="n"/>
      <c r="J225" s="5" t="n"/>
      <c r="K225" s="5" t="n"/>
      <c r="L225" s="8">
        <f>IF(E225="Confidential", 4, IF(E225="Sensitive", 3, IF(E225="Private", 2, IF(E225="Public", 1, ""))))</f>
        <v/>
      </c>
      <c r="M225" s="5" t="n"/>
      <c r="N225" s="8">
        <f>IF(OR(L225="",M225=""), "", L225*M225)</f>
        <v/>
      </c>
      <c r="O225" s="8">
        <f>IF(N225="","", IF(N225&gt;6, "High", IF(N225&gt;=4, "Medium", "Low")))</f>
        <v/>
      </c>
      <c r="P225" s="6" t="n"/>
      <c r="Q225" s="5" t="n"/>
      <c r="R225" s="5" t="n"/>
      <c r="S225" s="5" t="n"/>
      <c r="T225" s="6" t="n"/>
      <c r="U225" s="6" t="n"/>
      <c r="V225" s="6" t="n"/>
      <c r="W225" s="6" t="n"/>
      <c r="X225" s="6" t="n"/>
      <c r="Y225" s="6" t="n"/>
    </row>
    <row r="226" ht="22" customHeight="1">
      <c r="A226" s="5" t="n"/>
      <c r="B226" s="6" t="n"/>
      <c r="C226" s="5" t="n"/>
      <c r="D226" s="5" t="n"/>
      <c r="E226" s="5" t="n"/>
      <c r="F226" s="6" t="n"/>
      <c r="G226" s="6" t="n"/>
      <c r="H226" s="7">
        <f>IF(AND(F226="",G226=""),"", "Risk of """ &amp; F226 &amp; """ because of """ &amp; SUBSTITUTE(G226, ", ", """ and """) &amp; """")</f>
        <v/>
      </c>
      <c r="I226" s="5" t="n"/>
      <c r="J226" s="5" t="n"/>
      <c r="K226" s="5" t="n"/>
      <c r="L226" s="8">
        <f>IF(E226="Confidential", 4, IF(E226="Sensitive", 3, IF(E226="Private", 2, IF(E226="Public", 1, ""))))</f>
        <v/>
      </c>
      <c r="M226" s="5" t="n"/>
      <c r="N226" s="8">
        <f>IF(OR(L226="",M226=""), "", L226*M226)</f>
        <v/>
      </c>
      <c r="O226" s="8">
        <f>IF(N226="","", IF(N226&gt;6, "High", IF(N226&gt;=4, "Medium", "Low")))</f>
        <v/>
      </c>
      <c r="P226" s="6" t="n"/>
      <c r="Q226" s="5" t="n"/>
      <c r="R226" s="5" t="n"/>
      <c r="S226" s="5" t="n"/>
      <c r="T226" s="6" t="n"/>
      <c r="U226" s="6" t="n"/>
      <c r="V226" s="6" t="n"/>
      <c r="W226" s="6" t="n"/>
      <c r="X226" s="6" t="n"/>
      <c r="Y226" s="6" t="n"/>
    </row>
    <row r="227" ht="22" customHeight="1">
      <c r="A227" s="5" t="n"/>
      <c r="B227" s="6" t="n"/>
      <c r="C227" s="5" t="n"/>
      <c r="D227" s="5" t="n"/>
      <c r="E227" s="5" t="n"/>
      <c r="F227" s="6" t="n"/>
      <c r="G227" s="6" t="n"/>
      <c r="H227" s="7">
        <f>IF(AND(F227="",G227=""),"", "Risk of """ &amp; F227 &amp; """ because of """ &amp; SUBSTITUTE(G227, ", ", """ and """) &amp; """")</f>
        <v/>
      </c>
      <c r="I227" s="5" t="n"/>
      <c r="J227" s="5" t="n"/>
      <c r="K227" s="5" t="n"/>
      <c r="L227" s="8">
        <f>IF(E227="Confidential", 4, IF(E227="Sensitive", 3, IF(E227="Private", 2, IF(E227="Public", 1, ""))))</f>
        <v/>
      </c>
      <c r="M227" s="5" t="n"/>
      <c r="N227" s="8">
        <f>IF(OR(L227="",M227=""), "", L227*M227)</f>
        <v/>
      </c>
      <c r="O227" s="8">
        <f>IF(N227="","", IF(N227&gt;6, "High", IF(N227&gt;=4, "Medium", "Low")))</f>
        <v/>
      </c>
      <c r="P227" s="6" t="n"/>
      <c r="Q227" s="5" t="n"/>
      <c r="R227" s="5" t="n"/>
      <c r="S227" s="5" t="n"/>
      <c r="T227" s="6" t="n"/>
      <c r="U227" s="6" t="n"/>
      <c r="V227" s="6" t="n"/>
      <c r="W227" s="6" t="n"/>
      <c r="X227" s="6" t="n"/>
      <c r="Y227" s="6" t="n"/>
    </row>
    <row r="228" ht="22" customHeight="1">
      <c r="A228" s="5" t="n"/>
      <c r="B228" s="6" t="n"/>
      <c r="C228" s="5" t="n"/>
      <c r="D228" s="5" t="n"/>
      <c r="E228" s="5" t="n"/>
      <c r="F228" s="6" t="n"/>
      <c r="G228" s="6" t="n"/>
      <c r="H228" s="7">
        <f>IF(AND(F228="",G228=""),"", "Risk of """ &amp; F228 &amp; """ because of """ &amp; SUBSTITUTE(G228, ", ", """ and """) &amp; """")</f>
        <v/>
      </c>
      <c r="I228" s="5" t="n"/>
      <c r="J228" s="5" t="n"/>
      <c r="K228" s="5" t="n"/>
      <c r="L228" s="8">
        <f>IF(E228="Confidential", 4, IF(E228="Sensitive", 3, IF(E228="Private", 2, IF(E228="Public", 1, ""))))</f>
        <v/>
      </c>
      <c r="M228" s="5" t="n"/>
      <c r="N228" s="8">
        <f>IF(OR(L228="",M228=""), "", L228*M228)</f>
        <v/>
      </c>
      <c r="O228" s="8">
        <f>IF(N228="","", IF(N228&gt;6, "High", IF(N228&gt;=4, "Medium", "Low")))</f>
        <v/>
      </c>
      <c r="P228" s="6" t="n"/>
      <c r="Q228" s="5" t="n"/>
      <c r="R228" s="5" t="n"/>
      <c r="S228" s="5" t="n"/>
      <c r="T228" s="6" t="n"/>
      <c r="U228" s="6" t="n"/>
      <c r="V228" s="6" t="n"/>
      <c r="W228" s="6" t="n"/>
      <c r="X228" s="6" t="n"/>
      <c r="Y228" s="6" t="n"/>
    </row>
    <row r="229" ht="22" customHeight="1">
      <c r="A229" s="5" t="n"/>
      <c r="B229" s="6" t="n"/>
      <c r="C229" s="5" t="n"/>
      <c r="D229" s="5" t="n"/>
      <c r="E229" s="5" t="n"/>
      <c r="F229" s="6" t="n"/>
      <c r="G229" s="6" t="n"/>
      <c r="H229" s="7">
        <f>IF(AND(F229="",G229=""),"", "Risk of """ &amp; F229 &amp; """ because of """ &amp; SUBSTITUTE(G229, ", ", """ and """) &amp; """")</f>
        <v/>
      </c>
      <c r="I229" s="5" t="n"/>
      <c r="J229" s="5" t="n"/>
      <c r="K229" s="5" t="n"/>
      <c r="L229" s="8">
        <f>IF(E229="Confidential", 4, IF(E229="Sensitive", 3, IF(E229="Private", 2, IF(E229="Public", 1, ""))))</f>
        <v/>
      </c>
      <c r="M229" s="5" t="n"/>
      <c r="N229" s="8">
        <f>IF(OR(L229="",M229=""), "", L229*M229)</f>
        <v/>
      </c>
      <c r="O229" s="8">
        <f>IF(N229="","", IF(N229&gt;6, "High", IF(N229&gt;=4, "Medium", "Low")))</f>
        <v/>
      </c>
      <c r="P229" s="6" t="n"/>
      <c r="Q229" s="5" t="n"/>
      <c r="R229" s="5" t="n"/>
      <c r="S229" s="5" t="n"/>
      <c r="T229" s="6" t="n"/>
      <c r="U229" s="6" t="n"/>
      <c r="V229" s="6" t="n"/>
      <c r="W229" s="6" t="n"/>
      <c r="X229" s="6" t="n"/>
      <c r="Y229" s="6" t="n"/>
    </row>
    <row r="230" ht="22" customHeight="1">
      <c r="A230" s="5" t="n"/>
      <c r="B230" s="6" t="n"/>
      <c r="C230" s="5" t="n"/>
      <c r="D230" s="5" t="n"/>
      <c r="E230" s="5" t="n"/>
      <c r="F230" s="6" t="n"/>
      <c r="G230" s="6" t="n"/>
      <c r="H230" s="7">
        <f>IF(AND(F230="",G230=""),"", "Risk of """ &amp; F230 &amp; """ because of """ &amp; SUBSTITUTE(G230, ", ", """ and """) &amp; """")</f>
        <v/>
      </c>
      <c r="I230" s="5" t="n"/>
      <c r="J230" s="5" t="n"/>
      <c r="K230" s="5" t="n"/>
      <c r="L230" s="8">
        <f>IF(E230="Confidential", 4, IF(E230="Sensitive", 3, IF(E230="Private", 2, IF(E230="Public", 1, ""))))</f>
        <v/>
      </c>
      <c r="M230" s="5" t="n"/>
      <c r="N230" s="8">
        <f>IF(OR(L230="",M230=""), "", L230*M230)</f>
        <v/>
      </c>
      <c r="O230" s="8">
        <f>IF(N230="","", IF(N230&gt;6, "High", IF(N230&gt;=4, "Medium", "Low")))</f>
        <v/>
      </c>
      <c r="P230" s="6" t="n"/>
      <c r="Q230" s="5" t="n"/>
      <c r="R230" s="5" t="n"/>
      <c r="S230" s="5" t="n"/>
      <c r="T230" s="6" t="n"/>
      <c r="U230" s="6" t="n"/>
      <c r="V230" s="6" t="n"/>
      <c r="W230" s="6" t="n"/>
      <c r="X230" s="6" t="n"/>
      <c r="Y230" s="6" t="n"/>
    </row>
    <row r="231" ht="22" customHeight="1">
      <c r="A231" s="5" t="n"/>
      <c r="B231" s="6" t="n"/>
      <c r="C231" s="5" t="n"/>
      <c r="D231" s="5" t="n"/>
      <c r="E231" s="5" t="n"/>
      <c r="F231" s="6" t="n"/>
      <c r="G231" s="6" t="n"/>
      <c r="H231" s="7">
        <f>IF(AND(F231="",G231=""),"", "Risk of """ &amp; F231 &amp; """ because of """ &amp; SUBSTITUTE(G231, ", ", """ and """) &amp; """")</f>
        <v/>
      </c>
      <c r="I231" s="5" t="n"/>
      <c r="J231" s="5" t="n"/>
      <c r="K231" s="5" t="n"/>
      <c r="L231" s="8">
        <f>IF(E231="Confidential", 4, IF(E231="Sensitive", 3, IF(E231="Private", 2, IF(E231="Public", 1, ""))))</f>
        <v/>
      </c>
      <c r="M231" s="5" t="n"/>
      <c r="N231" s="8">
        <f>IF(OR(L231="",M231=""), "", L231*M231)</f>
        <v/>
      </c>
      <c r="O231" s="8">
        <f>IF(N231="","", IF(N231&gt;6, "High", IF(N231&gt;=4, "Medium", "Low")))</f>
        <v/>
      </c>
      <c r="P231" s="6" t="n"/>
      <c r="Q231" s="5" t="n"/>
      <c r="R231" s="5" t="n"/>
      <c r="S231" s="5" t="n"/>
      <c r="T231" s="6" t="n"/>
      <c r="U231" s="6" t="n"/>
      <c r="V231" s="6" t="n"/>
      <c r="W231" s="6" t="n"/>
      <c r="X231" s="6" t="n"/>
      <c r="Y231" s="6" t="n"/>
    </row>
    <row r="232" ht="22" customHeight="1">
      <c r="A232" s="5" t="n"/>
      <c r="B232" s="6" t="n"/>
      <c r="C232" s="5" t="n"/>
      <c r="D232" s="5" t="n"/>
      <c r="E232" s="5" t="n"/>
      <c r="F232" s="6" t="n"/>
      <c r="G232" s="6" t="n"/>
      <c r="H232" s="7">
        <f>IF(AND(F232="",G232=""),"", "Risk of """ &amp; F232 &amp; """ because of """ &amp; SUBSTITUTE(G232, ", ", """ and """) &amp; """")</f>
        <v/>
      </c>
      <c r="I232" s="5" t="n"/>
      <c r="J232" s="5" t="n"/>
      <c r="K232" s="5" t="n"/>
      <c r="L232" s="8">
        <f>IF(E232="Confidential", 4, IF(E232="Sensitive", 3, IF(E232="Private", 2, IF(E232="Public", 1, ""))))</f>
        <v/>
      </c>
      <c r="M232" s="5" t="n"/>
      <c r="N232" s="8">
        <f>IF(OR(L232="",M232=""), "", L232*M232)</f>
        <v/>
      </c>
      <c r="O232" s="8">
        <f>IF(N232="","", IF(N232&gt;6, "High", IF(N232&gt;=4, "Medium", "Low")))</f>
        <v/>
      </c>
      <c r="P232" s="6" t="n"/>
      <c r="Q232" s="5" t="n"/>
      <c r="R232" s="5" t="n"/>
      <c r="S232" s="5" t="n"/>
      <c r="T232" s="6" t="n"/>
      <c r="U232" s="6" t="n"/>
      <c r="V232" s="6" t="n"/>
      <c r="W232" s="6" t="n"/>
      <c r="X232" s="6" t="n"/>
      <c r="Y232" s="6" t="n"/>
    </row>
    <row r="233" ht="22" customHeight="1">
      <c r="A233" s="5" t="n"/>
      <c r="B233" s="6" t="n"/>
      <c r="C233" s="5" t="n"/>
      <c r="D233" s="5" t="n"/>
      <c r="E233" s="5" t="n"/>
      <c r="F233" s="6" t="n"/>
      <c r="G233" s="6" t="n"/>
      <c r="H233" s="7">
        <f>IF(AND(F233="",G233=""),"", "Risk of """ &amp; F233 &amp; """ because of """ &amp; SUBSTITUTE(G233, ", ", """ and """) &amp; """")</f>
        <v/>
      </c>
      <c r="I233" s="5" t="n"/>
      <c r="J233" s="5" t="n"/>
      <c r="K233" s="5" t="n"/>
      <c r="L233" s="8">
        <f>IF(E233="Confidential", 4, IF(E233="Sensitive", 3, IF(E233="Private", 2, IF(E233="Public", 1, ""))))</f>
        <v/>
      </c>
      <c r="M233" s="5" t="n"/>
      <c r="N233" s="8">
        <f>IF(OR(L233="",M233=""), "", L233*M233)</f>
        <v/>
      </c>
      <c r="O233" s="8">
        <f>IF(N233="","", IF(N233&gt;6, "High", IF(N233&gt;=4, "Medium", "Low")))</f>
        <v/>
      </c>
      <c r="P233" s="6" t="n"/>
      <c r="Q233" s="5" t="n"/>
      <c r="R233" s="5" t="n"/>
      <c r="S233" s="5" t="n"/>
      <c r="T233" s="6" t="n"/>
      <c r="U233" s="6" t="n"/>
      <c r="V233" s="6" t="n"/>
      <c r="W233" s="6" t="n"/>
      <c r="X233" s="6" t="n"/>
      <c r="Y233" s="6" t="n"/>
    </row>
    <row r="234" ht="22" customHeight="1">
      <c r="A234" s="5" t="n"/>
      <c r="B234" s="6" t="n"/>
      <c r="C234" s="5" t="n"/>
      <c r="D234" s="5" t="n"/>
      <c r="E234" s="5" t="n"/>
      <c r="F234" s="6" t="n"/>
      <c r="G234" s="6" t="n"/>
      <c r="H234" s="7">
        <f>IF(AND(F234="",G234=""),"", "Risk of """ &amp; F234 &amp; """ because of """ &amp; SUBSTITUTE(G234, ", ", """ and """) &amp; """")</f>
        <v/>
      </c>
      <c r="I234" s="5" t="n"/>
      <c r="J234" s="5" t="n"/>
      <c r="K234" s="5" t="n"/>
      <c r="L234" s="8">
        <f>IF(E234="Confidential", 4, IF(E234="Sensitive", 3, IF(E234="Private", 2, IF(E234="Public", 1, ""))))</f>
        <v/>
      </c>
      <c r="M234" s="5" t="n"/>
      <c r="N234" s="8">
        <f>IF(OR(L234="",M234=""), "", L234*M234)</f>
        <v/>
      </c>
      <c r="O234" s="8">
        <f>IF(N234="","", IF(N234&gt;6, "High", IF(N234&gt;=4, "Medium", "Low")))</f>
        <v/>
      </c>
      <c r="P234" s="6" t="n"/>
      <c r="Q234" s="5" t="n"/>
      <c r="R234" s="5" t="n"/>
      <c r="S234" s="5" t="n"/>
      <c r="T234" s="6" t="n"/>
      <c r="U234" s="6" t="n"/>
      <c r="V234" s="6" t="n"/>
      <c r="W234" s="6" t="n"/>
      <c r="X234" s="6" t="n"/>
      <c r="Y234" s="6" t="n"/>
    </row>
    <row r="235" ht="22" customHeight="1">
      <c r="A235" s="5" t="n"/>
      <c r="B235" s="6" t="n"/>
      <c r="C235" s="5" t="n"/>
      <c r="D235" s="5" t="n"/>
      <c r="E235" s="5" t="n"/>
      <c r="F235" s="6" t="n"/>
      <c r="G235" s="6" t="n"/>
      <c r="H235" s="7">
        <f>IF(AND(F235="",G235=""),"", "Risk of """ &amp; F235 &amp; """ because of """ &amp; SUBSTITUTE(G235, ", ", """ and """) &amp; """")</f>
        <v/>
      </c>
      <c r="I235" s="5" t="n"/>
      <c r="J235" s="5" t="n"/>
      <c r="K235" s="5" t="n"/>
      <c r="L235" s="8">
        <f>IF(E235="Confidential", 4, IF(E235="Sensitive", 3, IF(E235="Private", 2, IF(E235="Public", 1, ""))))</f>
        <v/>
      </c>
      <c r="M235" s="5" t="n"/>
      <c r="N235" s="8">
        <f>IF(OR(L235="",M235=""), "", L235*M235)</f>
        <v/>
      </c>
      <c r="O235" s="8">
        <f>IF(N235="","", IF(N235&gt;6, "High", IF(N235&gt;=4, "Medium", "Low")))</f>
        <v/>
      </c>
      <c r="P235" s="6" t="n"/>
      <c r="Q235" s="5" t="n"/>
      <c r="R235" s="5" t="n"/>
      <c r="S235" s="5" t="n"/>
      <c r="T235" s="6" t="n"/>
      <c r="U235" s="6" t="n"/>
      <c r="V235" s="6" t="n"/>
      <c r="W235" s="6" t="n"/>
      <c r="X235" s="6" t="n"/>
      <c r="Y235" s="6" t="n"/>
    </row>
    <row r="236" ht="22" customHeight="1">
      <c r="A236" s="5" t="n"/>
      <c r="B236" s="6" t="n"/>
      <c r="C236" s="5" t="n"/>
      <c r="D236" s="5" t="n"/>
      <c r="E236" s="5" t="n"/>
      <c r="F236" s="6" t="n"/>
      <c r="G236" s="6" t="n"/>
      <c r="H236" s="7">
        <f>IF(AND(F236="",G236=""),"", "Risk of """ &amp; F236 &amp; """ because of """ &amp; SUBSTITUTE(G236, ", ", """ and """) &amp; """")</f>
        <v/>
      </c>
      <c r="I236" s="5" t="n"/>
      <c r="J236" s="5" t="n"/>
      <c r="K236" s="5" t="n"/>
      <c r="L236" s="8">
        <f>IF(E236="Confidential", 4, IF(E236="Sensitive", 3, IF(E236="Private", 2, IF(E236="Public", 1, ""))))</f>
        <v/>
      </c>
      <c r="M236" s="5" t="n"/>
      <c r="N236" s="8">
        <f>IF(OR(L236="",M236=""), "", L236*M236)</f>
        <v/>
      </c>
      <c r="O236" s="8">
        <f>IF(N236="","", IF(N236&gt;6, "High", IF(N236&gt;=4, "Medium", "Low")))</f>
        <v/>
      </c>
      <c r="P236" s="6" t="n"/>
      <c r="Q236" s="5" t="n"/>
      <c r="R236" s="5" t="n"/>
      <c r="S236" s="5" t="n"/>
      <c r="T236" s="6" t="n"/>
      <c r="U236" s="6" t="n"/>
      <c r="V236" s="6" t="n"/>
      <c r="W236" s="6" t="n"/>
      <c r="X236" s="6" t="n"/>
      <c r="Y236" s="6" t="n"/>
    </row>
    <row r="237" ht="22" customHeight="1">
      <c r="A237" s="5" t="n"/>
      <c r="B237" s="6" t="n"/>
      <c r="C237" s="5" t="n"/>
      <c r="D237" s="5" t="n"/>
      <c r="E237" s="5" t="n"/>
      <c r="F237" s="6" t="n"/>
      <c r="G237" s="6" t="n"/>
      <c r="H237" s="7">
        <f>IF(AND(F237="",G237=""),"", "Risk of """ &amp; F237 &amp; """ because of """ &amp; SUBSTITUTE(G237, ", ", """ and """) &amp; """")</f>
        <v/>
      </c>
      <c r="I237" s="5" t="n"/>
      <c r="J237" s="5" t="n"/>
      <c r="K237" s="5" t="n"/>
      <c r="L237" s="8">
        <f>IF(E237="Confidential", 4, IF(E237="Sensitive", 3, IF(E237="Private", 2, IF(E237="Public", 1, ""))))</f>
        <v/>
      </c>
      <c r="M237" s="5" t="n"/>
      <c r="N237" s="8">
        <f>IF(OR(L237="",M237=""), "", L237*M237)</f>
        <v/>
      </c>
      <c r="O237" s="8">
        <f>IF(N237="","", IF(N237&gt;6, "High", IF(N237&gt;=4, "Medium", "Low")))</f>
        <v/>
      </c>
      <c r="P237" s="6" t="n"/>
      <c r="Q237" s="5" t="n"/>
      <c r="R237" s="5" t="n"/>
      <c r="S237" s="5" t="n"/>
      <c r="T237" s="6" t="n"/>
      <c r="U237" s="6" t="n"/>
      <c r="V237" s="6" t="n"/>
      <c r="W237" s="6" t="n"/>
      <c r="X237" s="6" t="n"/>
      <c r="Y237" s="6" t="n"/>
    </row>
    <row r="238" ht="22" customHeight="1">
      <c r="A238" s="5" t="n"/>
      <c r="B238" s="6" t="n"/>
      <c r="C238" s="5" t="n"/>
      <c r="D238" s="5" t="n"/>
      <c r="E238" s="5" t="n"/>
      <c r="F238" s="6" t="n"/>
      <c r="G238" s="6" t="n"/>
      <c r="H238" s="7">
        <f>IF(AND(F238="",G238=""),"", "Risk of """ &amp; F238 &amp; """ because of """ &amp; SUBSTITUTE(G238, ", ", """ and """) &amp; """")</f>
        <v/>
      </c>
      <c r="I238" s="5" t="n"/>
      <c r="J238" s="5" t="n"/>
      <c r="K238" s="5" t="n"/>
      <c r="L238" s="8">
        <f>IF(E238="Confidential", 4, IF(E238="Sensitive", 3, IF(E238="Private", 2, IF(E238="Public", 1, ""))))</f>
        <v/>
      </c>
      <c r="M238" s="5" t="n"/>
      <c r="N238" s="8">
        <f>IF(OR(L238="",M238=""), "", L238*M238)</f>
        <v/>
      </c>
      <c r="O238" s="8">
        <f>IF(N238="","", IF(N238&gt;6, "High", IF(N238&gt;=4, "Medium", "Low")))</f>
        <v/>
      </c>
      <c r="P238" s="6" t="n"/>
      <c r="Q238" s="5" t="n"/>
      <c r="R238" s="5" t="n"/>
      <c r="S238" s="5" t="n"/>
      <c r="T238" s="6" t="n"/>
      <c r="U238" s="6" t="n"/>
      <c r="V238" s="6" t="n"/>
      <c r="W238" s="6" t="n"/>
      <c r="X238" s="6" t="n"/>
      <c r="Y238" s="6" t="n"/>
    </row>
    <row r="239" ht="22" customHeight="1">
      <c r="A239" s="5" t="n"/>
      <c r="B239" s="6" t="n"/>
      <c r="C239" s="5" t="n"/>
      <c r="D239" s="5" t="n"/>
      <c r="E239" s="5" t="n"/>
      <c r="F239" s="6" t="n"/>
      <c r="G239" s="6" t="n"/>
      <c r="H239" s="7">
        <f>IF(AND(F239="",G239=""),"", "Risk of """ &amp; F239 &amp; """ because of """ &amp; SUBSTITUTE(G239, ", ", """ and """) &amp; """")</f>
        <v/>
      </c>
      <c r="I239" s="5" t="n"/>
      <c r="J239" s="5" t="n"/>
      <c r="K239" s="5" t="n"/>
      <c r="L239" s="8">
        <f>IF(E239="Confidential", 4, IF(E239="Sensitive", 3, IF(E239="Private", 2, IF(E239="Public", 1, ""))))</f>
        <v/>
      </c>
      <c r="M239" s="5" t="n"/>
      <c r="N239" s="8">
        <f>IF(OR(L239="",M239=""), "", L239*M239)</f>
        <v/>
      </c>
      <c r="O239" s="8">
        <f>IF(N239="","", IF(N239&gt;6, "High", IF(N239&gt;=4, "Medium", "Low")))</f>
        <v/>
      </c>
      <c r="P239" s="6" t="n"/>
      <c r="Q239" s="5" t="n"/>
      <c r="R239" s="5" t="n"/>
      <c r="S239" s="5" t="n"/>
      <c r="T239" s="6" t="n"/>
      <c r="U239" s="6" t="n"/>
      <c r="V239" s="6" t="n"/>
      <c r="W239" s="6" t="n"/>
      <c r="X239" s="6" t="n"/>
      <c r="Y239" s="6" t="n"/>
    </row>
    <row r="240" ht="22" customHeight="1">
      <c r="A240" s="5" t="n"/>
      <c r="B240" s="6" t="n"/>
      <c r="C240" s="5" t="n"/>
      <c r="D240" s="5" t="n"/>
      <c r="E240" s="5" t="n"/>
      <c r="F240" s="6" t="n"/>
      <c r="G240" s="6" t="n"/>
      <c r="H240" s="7">
        <f>IF(AND(F240="",G240=""),"", "Risk of """ &amp; F240 &amp; """ because of """ &amp; SUBSTITUTE(G240, ", ", """ and """) &amp; """")</f>
        <v/>
      </c>
      <c r="I240" s="5" t="n"/>
      <c r="J240" s="5" t="n"/>
      <c r="K240" s="5" t="n"/>
      <c r="L240" s="8">
        <f>IF(E240="Confidential", 4, IF(E240="Sensitive", 3, IF(E240="Private", 2, IF(E240="Public", 1, ""))))</f>
        <v/>
      </c>
      <c r="M240" s="5" t="n"/>
      <c r="N240" s="8">
        <f>IF(OR(L240="",M240=""), "", L240*M240)</f>
        <v/>
      </c>
      <c r="O240" s="8">
        <f>IF(N240="","", IF(N240&gt;6, "High", IF(N240&gt;=4, "Medium", "Low")))</f>
        <v/>
      </c>
      <c r="P240" s="6" t="n"/>
      <c r="Q240" s="5" t="n"/>
      <c r="R240" s="5" t="n"/>
      <c r="S240" s="5" t="n"/>
      <c r="T240" s="6" t="n"/>
      <c r="U240" s="6" t="n"/>
      <c r="V240" s="6" t="n"/>
      <c r="W240" s="6" t="n"/>
      <c r="X240" s="6" t="n"/>
      <c r="Y240" s="6" t="n"/>
    </row>
    <row r="241" ht="22" customHeight="1">
      <c r="A241" s="5" t="n"/>
      <c r="B241" s="6" t="n"/>
      <c r="C241" s="5" t="n"/>
      <c r="D241" s="5" t="n"/>
      <c r="E241" s="5" t="n"/>
      <c r="F241" s="6" t="n"/>
      <c r="G241" s="6" t="n"/>
      <c r="H241" s="7">
        <f>IF(AND(F241="",G241=""),"", "Risk of """ &amp; F241 &amp; """ because of """ &amp; SUBSTITUTE(G241, ", ", """ and """) &amp; """")</f>
        <v/>
      </c>
      <c r="I241" s="5" t="n"/>
      <c r="J241" s="5" t="n"/>
      <c r="K241" s="5" t="n"/>
      <c r="L241" s="8">
        <f>IF(E241="Confidential", 4, IF(E241="Sensitive", 3, IF(E241="Private", 2, IF(E241="Public", 1, ""))))</f>
        <v/>
      </c>
      <c r="M241" s="5" t="n"/>
      <c r="N241" s="8">
        <f>IF(OR(L241="",M241=""), "", L241*M241)</f>
        <v/>
      </c>
      <c r="O241" s="8">
        <f>IF(N241="","", IF(N241&gt;6, "High", IF(N241&gt;=4, "Medium", "Low")))</f>
        <v/>
      </c>
      <c r="P241" s="6" t="n"/>
      <c r="Q241" s="5" t="n"/>
      <c r="R241" s="5" t="n"/>
      <c r="S241" s="5" t="n"/>
      <c r="T241" s="6" t="n"/>
      <c r="U241" s="6" t="n"/>
      <c r="V241" s="6" t="n"/>
      <c r="W241" s="6" t="n"/>
      <c r="X241" s="6" t="n"/>
      <c r="Y241" s="6" t="n"/>
    </row>
    <row r="242" ht="22" customHeight="1">
      <c r="A242" s="5" t="n"/>
      <c r="B242" s="6" t="n"/>
      <c r="C242" s="5" t="n"/>
      <c r="D242" s="5" t="n"/>
      <c r="E242" s="5" t="n"/>
      <c r="F242" s="6" t="n"/>
      <c r="G242" s="6" t="n"/>
      <c r="H242" s="7">
        <f>IF(AND(F242="",G242=""),"", "Risk of """ &amp; F242 &amp; """ because of """ &amp; SUBSTITUTE(G242, ", ", """ and """) &amp; """")</f>
        <v/>
      </c>
      <c r="I242" s="5" t="n"/>
      <c r="J242" s="5" t="n"/>
      <c r="K242" s="5" t="n"/>
      <c r="L242" s="8">
        <f>IF(E242="Confidential", 4, IF(E242="Sensitive", 3, IF(E242="Private", 2, IF(E242="Public", 1, ""))))</f>
        <v/>
      </c>
      <c r="M242" s="5" t="n"/>
      <c r="N242" s="8">
        <f>IF(OR(L242="",M242=""), "", L242*M242)</f>
        <v/>
      </c>
      <c r="O242" s="8">
        <f>IF(N242="","", IF(N242&gt;6, "High", IF(N242&gt;=4, "Medium", "Low")))</f>
        <v/>
      </c>
      <c r="P242" s="6" t="n"/>
      <c r="Q242" s="5" t="n"/>
      <c r="R242" s="5" t="n"/>
      <c r="S242" s="5" t="n"/>
      <c r="T242" s="6" t="n"/>
      <c r="U242" s="6" t="n"/>
      <c r="V242" s="6" t="n"/>
      <c r="W242" s="6" t="n"/>
      <c r="X242" s="6" t="n"/>
      <c r="Y242" s="6" t="n"/>
    </row>
    <row r="243" ht="22" customHeight="1">
      <c r="A243" s="5" t="n"/>
      <c r="B243" s="6" t="n"/>
      <c r="C243" s="5" t="n"/>
      <c r="D243" s="5" t="n"/>
      <c r="E243" s="5" t="n"/>
      <c r="F243" s="6" t="n"/>
      <c r="G243" s="6" t="n"/>
      <c r="H243" s="7">
        <f>IF(AND(F243="",G243=""),"", "Risk of """ &amp; F243 &amp; """ because of """ &amp; SUBSTITUTE(G243, ", ", """ and """) &amp; """")</f>
        <v/>
      </c>
      <c r="I243" s="5" t="n"/>
      <c r="J243" s="5" t="n"/>
      <c r="K243" s="5" t="n"/>
      <c r="L243" s="8">
        <f>IF(E243="Confidential", 4, IF(E243="Sensitive", 3, IF(E243="Private", 2, IF(E243="Public", 1, ""))))</f>
        <v/>
      </c>
      <c r="M243" s="5" t="n"/>
      <c r="N243" s="8">
        <f>IF(OR(L243="",M243=""), "", L243*M243)</f>
        <v/>
      </c>
      <c r="O243" s="8">
        <f>IF(N243="","", IF(N243&gt;6, "High", IF(N243&gt;=4, "Medium", "Low")))</f>
        <v/>
      </c>
      <c r="P243" s="6" t="n"/>
      <c r="Q243" s="5" t="n"/>
      <c r="R243" s="5" t="n"/>
      <c r="S243" s="5" t="n"/>
      <c r="T243" s="6" t="n"/>
      <c r="U243" s="6" t="n"/>
      <c r="V243" s="6" t="n"/>
      <c r="W243" s="6" t="n"/>
      <c r="X243" s="6" t="n"/>
      <c r="Y243" s="6" t="n"/>
    </row>
    <row r="244" ht="22" customHeight="1">
      <c r="A244" s="5" t="n"/>
      <c r="B244" s="6" t="n"/>
      <c r="C244" s="5" t="n"/>
      <c r="D244" s="5" t="n"/>
      <c r="E244" s="5" t="n"/>
      <c r="F244" s="6" t="n"/>
      <c r="G244" s="6" t="n"/>
      <c r="H244" s="7">
        <f>IF(AND(F244="",G244=""),"", "Risk of """ &amp; F244 &amp; """ because of """ &amp; SUBSTITUTE(G244, ", ", """ and """) &amp; """")</f>
        <v/>
      </c>
      <c r="I244" s="5" t="n"/>
      <c r="J244" s="5" t="n"/>
      <c r="K244" s="5" t="n"/>
      <c r="L244" s="8">
        <f>IF(E244="Confidential", 4, IF(E244="Sensitive", 3, IF(E244="Private", 2, IF(E244="Public", 1, ""))))</f>
        <v/>
      </c>
      <c r="M244" s="5" t="n"/>
      <c r="N244" s="8">
        <f>IF(OR(L244="",M244=""), "", L244*M244)</f>
        <v/>
      </c>
      <c r="O244" s="8">
        <f>IF(N244="","", IF(N244&gt;6, "High", IF(N244&gt;=4, "Medium", "Low")))</f>
        <v/>
      </c>
      <c r="P244" s="6" t="n"/>
      <c r="Q244" s="5" t="n"/>
      <c r="R244" s="5" t="n"/>
      <c r="S244" s="5" t="n"/>
      <c r="T244" s="6" t="n"/>
      <c r="U244" s="6" t="n"/>
      <c r="V244" s="6" t="n"/>
      <c r="W244" s="6" t="n"/>
      <c r="X244" s="6" t="n"/>
      <c r="Y244" s="6" t="n"/>
    </row>
    <row r="245" ht="22" customHeight="1">
      <c r="A245" s="5" t="n"/>
      <c r="B245" s="6" t="n"/>
      <c r="C245" s="5" t="n"/>
      <c r="D245" s="5" t="n"/>
      <c r="E245" s="5" t="n"/>
      <c r="F245" s="6" t="n"/>
      <c r="G245" s="6" t="n"/>
      <c r="H245" s="7">
        <f>IF(AND(F245="",G245=""),"", "Risk of """ &amp; F245 &amp; """ because of """ &amp; SUBSTITUTE(G245, ", ", """ and """) &amp; """")</f>
        <v/>
      </c>
      <c r="I245" s="5" t="n"/>
      <c r="J245" s="5" t="n"/>
      <c r="K245" s="5" t="n"/>
      <c r="L245" s="8">
        <f>IF(E245="Confidential", 4, IF(E245="Sensitive", 3, IF(E245="Private", 2, IF(E245="Public", 1, ""))))</f>
        <v/>
      </c>
      <c r="M245" s="5" t="n"/>
      <c r="N245" s="8">
        <f>IF(OR(L245="",M245=""), "", L245*M245)</f>
        <v/>
      </c>
      <c r="O245" s="8">
        <f>IF(N245="","", IF(N245&gt;6, "High", IF(N245&gt;=4, "Medium", "Low")))</f>
        <v/>
      </c>
      <c r="P245" s="6" t="n"/>
      <c r="Q245" s="5" t="n"/>
      <c r="R245" s="5" t="n"/>
      <c r="S245" s="5" t="n"/>
      <c r="T245" s="6" t="n"/>
      <c r="U245" s="6" t="n"/>
      <c r="V245" s="6" t="n"/>
      <c r="W245" s="6" t="n"/>
      <c r="X245" s="6" t="n"/>
      <c r="Y245" s="6" t="n"/>
    </row>
    <row r="246" ht="22" customHeight="1">
      <c r="A246" s="5" t="n"/>
      <c r="B246" s="6" t="n"/>
      <c r="C246" s="5" t="n"/>
      <c r="D246" s="5" t="n"/>
      <c r="E246" s="5" t="n"/>
      <c r="F246" s="6" t="n"/>
      <c r="G246" s="6" t="n"/>
      <c r="H246" s="7">
        <f>IF(AND(F246="",G246=""),"", "Risk of """ &amp; F246 &amp; """ because of """ &amp; SUBSTITUTE(G246, ", ", """ and """) &amp; """")</f>
        <v/>
      </c>
      <c r="I246" s="5" t="n"/>
      <c r="J246" s="5" t="n"/>
      <c r="K246" s="5" t="n"/>
      <c r="L246" s="8">
        <f>IF(E246="Confidential", 4, IF(E246="Sensitive", 3, IF(E246="Private", 2, IF(E246="Public", 1, ""))))</f>
        <v/>
      </c>
      <c r="M246" s="5" t="n"/>
      <c r="N246" s="8">
        <f>IF(OR(L246="",M246=""), "", L246*M246)</f>
        <v/>
      </c>
      <c r="O246" s="8">
        <f>IF(N246="","", IF(N246&gt;6, "High", IF(N246&gt;=4, "Medium", "Low")))</f>
        <v/>
      </c>
      <c r="P246" s="6" t="n"/>
      <c r="Q246" s="5" t="n"/>
      <c r="R246" s="5" t="n"/>
      <c r="S246" s="5" t="n"/>
      <c r="T246" s="6" t="n"/>
      <c r="U246" s="6" t="n"/>
      <c r="V246" s="6" t="n"/>
      <c r="W246" s="6" t="n"/>
      <c r="X246" s="6" t="n"/>
      <c r="Y246" s="6" t="n"/>
    </row>
    <row r="247" ht="22" customHeight="1">
      <c r="A247" s="5" t="n"/>
      <c r="B247" s="6" t="n"/>
      <c r="C247" s="5" t="n"/>
      <c r="D247" s="5" t="n"/>
      <c r="E247" s="5" t="n"/>
      <c r="F247" s="6" t="n"/>
      <c r="G247" s="6" t="n"/>
      <c r="H247" s="7">
        <f>IF(AND(F247="",G247=""),"", "Risk of """ &amp; F247 &amp; """ because of """ &amp; SUBSTITUTE(G247, ", ", """ and """) &amp; """")</f>
        <v/>
      </c>
      <c r="I247" s="5" t="n"/>
      <c r="J247" s="5" t="n"/>
      <c r="K247" s="5" t="n"/>
      <c r="L247" s="8">
        <f>IF(E247="Confidential", 4, IF(E247="Sensitive", 3, IF(E247="Private", 2, IF(E247="Public", 1, ""))))</f>
        <v/>
      </c>
      <c r="M247" s="5" t="n"/>
      <c r="N247" s="8">
        <f>IF(OR(L247="",M247=""), "", L247*M247)</f>
        <v/>
      </c>
      <c r="O247" s="8">
        <f>IF(N247="","", IF(N247&gt;6, "High", IF(N247&gt;=4, "Medium", "Low")))</f>
        <v/>
      </c>
      <c r="P247" s="6" t="n"/>
      <c r="Q247" s="5" t="n"/>
      <c r="R247" s="5" t="n"/>
      <c r="S247" s="5" t="n"/>
      <c r="T247" s="6" t="n"/>
      <c r="U247" s="6" t="n"/>
      <c r="V247" s="6" t="n"/>
      <c r="W247" s="6" t="n"/>
      <c r="X247" s="6" t="n"/>
      <c r="Y247" s="6" t="n"/>
    </row>
    <row r="248" ht="22" customHeight="1">
      <c r="A248" s="5" t="n"/>
      <c r="B248" s="6" t="n"/>
      <c r="C248" s="5" t="n"/>
      <c r="D248" s="5" t="n"/>
      <c r="E248" s="5" t="n"/>
      <c r="F248" s="6" t="n"/>
      <c r="G248" s="6" t="n"/>
      <c r="H248" s="7">
        <f>IF(AND(F248="",G248=""),"", "Risk of """ &amp; F248 &amp; """ because of """ &amp; SUBSTITUTE(G248, ", ", """ and """) &amp; """")</f>
        <v/>
      </c>
      <c r="I248" s="5" t="n"/>
      <c r="J248" s="5" t="n"/>
      <c r="K248" s="5" t="n"/>
      <c r="L248" s="8">
        <f>IF(E248="Confidential", 4, IF(E248="Sensitive", 3, IF(E248="Private", 2, IF(E248="Public", 1, ""))))</f>
        <v/>
      </c>
      <c r="M248" s="5" t="n"/>
      <c r="N248" s="8">
        <f>IF(OR(L248="",M248=""), "", L248*M248)</f>
        <v/>
      </c>
      <c r="O248" s="8">
        <f>IF(N248="","", IF(N248&gt;6, "High", IF(N248&gt;=4, "Medium", "Low")))</f>
        <v/>
      </c>
      <c r="P248" s="6" t="n"/>
      <c r="Q248" s="5" t="n"/>
      <c r="R248" s="5" t="n"/>
      <c r="S248" s="5" t="n"/>
      <c r="T248" s="6" t="n"/>
      <c r="U248" s="6" t="n"/>
      <c r="V248" s="6" t="n"/>
      <c r="W248" s="6" t="n"/>
      <c r="X248" s="6" t="n"/>
      <c r="Y248" s="6" t="n"/>
    </row>
    <row r="249" ht="22" customHeight="1">
      <c r="A249" s="5" t="n"/>
      <c r="B249" s="6" t="n"/>
      <c r="C249" s="5" t="n"/>
      <c r="D249" s="5" t="n"/>
      <c r="E249" s="5" t="n"/>
      <c r="F249" s="6" t="n"/>
      <c r="G249" s="6" t="n"/>
      <c r="H249" s="7">
        <f>IF(AND(F249="",G249=""),"", "Risk of """ &amp; F249 &amp; """ because of """ &amp; SUBSTITUTE(G249, ", ", """ and """) &amp; """")</f>
        <v/>
      </c>
      <c r="I249" s="5" t="n"/>
      <c r="J249" s="5" t="n"/>
      <c r="K249" s="5" t="n"/>
      <c r="L249" s="8">
        <f>IF(E249="Confidential", 4, IF(E249="Sensitive", 3, IF(E249="Private", 2, IF(E249="Public", 1, ""))))</f>
        <v/>
      </c>
      <c r="M249" s="5" t="n"/>
      <c r="N249" s="8">
        <f>IF(OR(L249="",M249=""), "", L249*M249)</f>
        <v/>
      </c>
      <c r="O249" s="8">
        <f>IF(N249="","", IF(N249&gt;6, "High", IF(N249&gt;=4, "Medium", "Low")))</f>
        <v/>
      </c>
      <c r="P249" s="6" t="n"/>
      <c r="Q249" s="5" t="n"/>
      <c r="R249" s="5" t="n"/>
      <c r="S249" s="5" t="n"/>
      <c r="T249" s="6" t="n"/>
      <c r="U249" s="6" t="n"/>
      <c r="V249" s="6" t="n"/>
      <c r="W249" s="6" t="n"/>
      <c r="X249" s="6" t="n"/>
      <c r="Y249" s="6" t="n"/>
    </row>
    <row r="250" ht="22" customHeight="1">
      <c r="A250" s="5" t="n"/>
      <c r="B250" s="6" t="n"/>
      <c r="C250" s="5" t="n"/>
      <c r="D250" s="5" t="n"/>
      <c r="E250" s="5" t="n"/>
      <c r="F250" s="6" t="n"/>
      <c r="G250" s="6" t="n"/>
      <c r="H250" s="7">
        <f>IF(AND(F250="",G250=""),"", "Risk of """ &amp; F250 &amp; """ because of """ &amp; SUBSTITUTE(G250, ", ", """ and """) &amp; """")</f>
        <v/>
      </c>
      <c r="I250" s="5" t="n"/>
      <c r="J250" s="5" t="n"/>
      <c r="K250" s="5" t="n"/>
      <c r="L250" s="8">
        <f>IF(E250="Confidential", 4, IF(E250="Sensitive", 3, IF(E250="Private", 2, IF(E250="Public", 1, ""))))</f>
        <v/>
      </c>
      <c r="M250" s="5" t="n"/>
      <c r="N250" s="8">
        <f>IF(OR(L250="",M250=""), "", L250*M250)</f>
        <v/>
      </c>
      <c r="O250" s="8">
        <f>IF(N250="","", IF(N250&gt;6, "High", IF(N250&gt;=4, "Medium", "Low")))</f>
        <v/>
      </c>
      <c r="P250" s="6" t="n"/>
      <c r="Q250" s="5" t="n"/>
      <c r="R250" s="5" t="n"/>
      <c r="S250" s="5" t="n"/>
      <c r="T250" s="6" t="n"/>
      <c r="U250" s="6" t="n"/>
      <c r="V250" s="6" t="n"/>
      <c r="W250" s="6" t="n"/>
      <c r="X250" s="6" t="n"/>
      <c r="Y250" s="6" t="n"/>
    </row>
    <row r="251" ht="22" customHeight="1">
      <c r="A251" s="5" t="n"/>
      <c r="B251" s="6" t="n"/>
      <c r="C251" s="5" t="n"/>
      <c r="D251" s="5" t="n"/>
      <c r="E251" s="5" t="n"/>
      <c r="F251" s="6" t="n"/>
      <c r="G251" s="6" t="n"/>
      <c r="H251" s="7">
        <f>IF(AND(F251="",G251=""),"", "Risk of """ &amp; F251 &amp; """ because of """ &amp; SUBSTITUTE(G251, ", ", """ and """) &amp; """")</f>
        <v/>
      </c>
      <c r="I251" s="5" t="n"/>
      <c r="J251" s="5" t="n"/>
      <c r="K251" s="5" t="n"/>
      <c r="L251" s="8">
        <f>IF(E251="Confidential", 4, IF(E251="Sensitive", 3, IF(E251="Private", 2, IF(E251="Public", 1, ""))))</f>
        <v/>
      </c>
      <c r="M251" s="5" t="n"/>
      <c r="N251" s="8">
        <f>IF(OR(L251="",M251=""), "", L251*M251)</f>
        <v/>
      </c>
      <c r="O251" s="8">
        <f>IF(N251="","", IF(N251&gt;6, "High", IF(N251&gt;=4, "Medium", "Low")))</f>
        <v/>
      </c>
      <c r="P251" s="6" t="n"/>
      <c r="Q251" s="5" t="n"/>
      <c r="R251" s="5" t="n"/>
      <c r="S251" s="5" t="n"/>
      <c r="T251" s="6" t="n"/>
      <c r="U251" s="6" t="n"/>
      <c r="V251" s="6" t="n"/>
      <c r="W251" s="6" t="n"/>
      <c r="X251" s="6" t="n"/>
      <c r="Y251" s="6" t="n"/>
    </row>
    <row r="252" ht="22" customHeight="1">
      <c r="A252" s="5" t="n"/>
      <c r="B252" s="6" t="n"/>
      <c r="C252" s="5" t="n"/>
      <c r="D252" s="5" t="n"/>
      <c r="E252" s="5" t="n"/>
      <c r="F252" s="6" t="n"/>
      <c r="G252" s="6" t="n"/>
      <c r="H252" s="7">
        <f>IF(AND(F252="",G252=""),"", "Risk of """ &amp; F252 &amp; """ because of """ &amp; SUBSTITUTE(G252, ", ", """ and """) &amp; """")</f>
        <v/>
      </c>
      <c r="I252" s="5" t="n"/>
      <c r="J252" s="5" t="n"/>
      <c r="K252" s="5" t="n"/>
      <c r="L252" s="8">
        <f>IF(E252="Confidential", 4, IF(E252="Sensitive", 3, IF(E252="Private", 2, IF(E252="Public", 1, ""))))</f>
        <v/>
      </c>
      <c r="M252" s="5" t="n"/>
      <c r="N252" s="8">
        <f>IF(OR(L252="",M252=""), "", L252*M252)</f>
        <v/>
      </c>
      <c r="O252" s="8">
        <f>IF(N252="","", IF(N252&gt;6, "High", IF(N252&gt;=4, "Medium", "Low")))</f>
        <v/>
      </c>
      <c r="P252" s="6" t="n"/>
      <c r="Q252" s="5" t="n"/>
      <c r="R252" s="5" t="n"/>
      <c r="S252" s="5" t="n"/>
      <c r="T252" s="6" t="n"/>
      <c r="U252" s="6" t="n"/>
      <c r="V252" s="6" t="n"/>
      <c r="W252" s="6" t="n"/>
      <c r="X252" s="6" t="n"/>
      <c r="Y252" s="6" t="n"/>
    </row>
    <row r="253" ht="22" customHeight="1">
      <c r="A253" s="5" t="n"/>
      <c r="B253" s="6" t="n"/>
      <c r="C253" s="5" t="n"/>
      <c r="D253" s="5" t="n"/>
      <c r="E253" s="5" t="n"/>
      <c r="F253" s="6" t="n"/>
      <c r="G253" s="6" t="n"/>
      <c r="H253" s="7">
        <f>IF(AND(F253="",G253=""),"", "Risk of """ &amp; F253 &amp; """ because of """ &amp; SUBSTITUTE(G253, ", ", """ and """) &amp; """")</f>
        <v/>
      </c>
      <c r="I253" s="5" t="n"/>
      <c r="J253" s="5" t="n"/>
      <c r="K253" s="5" t="n"/>
      <c r="L253" s="8">
        <f>IF(E253="Confidential", 4, IF(E253="Sensitive", 3, IF(E253="Private", 2, IF(E253="Public", 1, ""))))</f>
        <v/>
      </c>
      <c r="M253" s="5" t="n"/>
      <c r="N253" s="8">
        <f>IF(OR(L253="",M253=""), "", L253*M253)</f>
        <v/>
      </c>
      <c r="O253" s="8">
        <f>IF(N253="","", IF(N253&gt;6, "High", IF(N253&gt;=4, "Medium", "Low")))</f>
        <v/>
      </c>
      <c r="P253" s="6" t="n"/>
      <c r="Q253" s="5" t="n"/>
      <c r="R253" s="5" t="n"/>
      <c r="S253" s="5" t="n"/>
      <c r="T253" s="6" t="n"/>
      <c r="U253" s="6" t="n"/>
      <c r="V253" s="6" t="n"/>
      <c r="W253" s="6" t="n"/>
      <c r="X253" s="6" t="n"/>
      <c r="Y253" s="6" t="n"/>
    </row>
    <row r="254" ht="22" customHeight="1">
      <c r="A254" s="5" t="n"/>
      <c r="B254" s="6" t="n"/>
      <c r="C254" s="5" t="n"/>
      <c r="D254" s="5" t="n"/>
      <c r="E254" s="5" t="n"/>
      <c r="F254" s="6" t="n"/>
      <c r="G254" s="6" t="n"/>
      <c r="H254" s="7">
        <f>IF(AND(F254="",G254=""),"", "Risk of """ &amp; F254 &amp; """ because of """ &amp; SUBSTITUTE(G254, ", ", """ and """) &amp; """")</f>
        <v/>
      </c>
      <c r="I254" s="5" t="n"/>
      <c r="J254" s="5" t="n"/>
      <c r="K254" s="5" t="n"/>
      <c r="L254" s="8">
        <f>IF(E254="Confidential", 4, IF(E254="Sensitive", 3, IF(E254="Private", 2, IF(E254="Public", 1, ""))))</f>
        <v/>
      </c>
      <c r="M254" s="5" t="n"/>
      <c r="N254" s="8">
        <f>IF(OR(L254="",M254=""), "", L254*M254)</f>
        <v/>
      </c>
      <c r="O254" s="8">
        <f>IF(N254="","", IF(N254&gt;6, "High", IF(N254&gt;=4, "Medium", "Low")))</f>
        <v/>
      </c>
      <c r="P254" s="6" t="n"/>
      <c r="Q254" s="5" t="n"/>
      <c r="R254" s="5" t="n"/>
      <c r="S254" s="5" t="n"/>
      <c r="T254" s="6" t="n"/>
      <c r="U254" s="6" t="n"/>
      <c r="V254" s="6" t="n"/>
      <c r="W254" s="6" t="n"/>
      <c r="X254" s="6" t="n"/>
      <c r="Y254" s="6" t="n"/>
    </row>
    <row r="255" ht="22" customHeight="1">
      <c r="A255" s="5" t="n"/>
      <c r="B255" s="6" t="n"/>
      <c r="C255" s="5" t="n"/>
      <c r="D255" s="5" t="n"/>
      <c r="E255" s="5" t="n"/>
      <c r="F255" s="6" t="n"/>
      <c r="G255" s="6" t="n"/>
      <c r="H255" s="7">
        <f>IF(AND(F255="",G255=""),"", "Risk of """ &amp; F255 &amp; """ because of """ &amp; SUBSTITUTE(G255, ", ", """ and """) &amp; """")</f>
        <v/>
      </c>
      <c r="I255" s="5" t="n"/>
      <c r="J255" s="5" t="n"/>
      <c r="K255" s="5" t="n"/>
      <c r="L255" s="8">
        <f>IF(E255="Confidential", 4, IF(E255="Sensitive", 3, IF(E255="Private", 2, IF(E255="Public", 1, ""))))</f>
        <v/>
      </c>
      <c r="M255" s="5" t="n"/>
      <c r="N255" s="8">
        <f>IF(OR(L255="",M255=""), "", L255*M255)</f>
        <v/>
      </c>
      <c r="O255" s="8">
        <f>IF(N255="","", IF(N255&gt;6, "High", IF(N255&gt;=4, "Medium", "Low")))</f>
        <v/>
      </c>
      <c r="P255" s="6" t="n"/>
      <c r="Q255" s="5" t="n"/>
      <c r="R255" s="5" t="n"/>
      <c r="S255" s="5" t="n"/>
      <c r="T255" s="6" t="n"/>
      <c r="U255" s="6" t="n"/>
      <c r="V255" s="6" t="n"/>
      <c r="W255" s="6" t="n"/>
      <c r="X255" s="6" t="n"/>
      <c r="Y255" s="6" t="n"/>
    </row>
    <row r="256" ht="22" customHeight="1">
      <c r="A256" s="5" t="n"/>
      <c r="B256" s="6" t="n"/>
      <c r="C256" s="5" t="n"/>
      <c r="D256" s="5" t="n"/>
      <c r="E256" s="5" t="n"/>
      <c r="F256" s="6" t="n"/>
      <c r="G256" s="6" t="n"/>
      <c r="H256" s="7">
        <f>IF(AND(F256="",G256=""),"", "Risk of """ &amp; F256 &amp; """ because of """ &amp; SUBSTITUTE(G256, ", ", """ and """) &amp; """")</f>
        <v/>
      </c>
      <c r="I256" s="5" t="n"/>
      <c r="J256" s="5" t="n"/>
      <c r="K256" s="5" t="n"/>
      <c r="L256" s="8">
        <f>IF(E256="Confidential", 4, IF(E256="Sensitive", 3, IF(E256="Private", 2, IF(E256="Public", 1, ""))))</f>
        <v/>
      </c>
      <c r="M256" s="5" t="n"/>
      <c r="N256" s="8">
        <f>IF(OR(L256="",M256=""), "", L256*M256)</f>
        <v/>
      </c>
      <c r="O256" s="8">
        <f>IF(N256="","", IF(N256&gt;6, "High", IF(N256&gt;=4, "Medium", "Low")))</f>
        <v/>
      </c>
      <c r="P256" s="6" t="n"/>
      <c r="Q256" s="5" t="n"/>
      <c r="R256" s="5" t="n"/>
      <c r="S256" s="5" t="n"/>
      <c r="T256" s="6" t="n"/>
      <c r="U256" s="6" t="n"/>
      <c r="V256" s="6" t="n"/>
      <c r="W256" s="6" t="n"/>
      <c r="X256" s="6" t="n"/>
      <c r="Y256" s="6" t="n"/>
    </row>
    <row r="257" ht="22" customHeight="1">
      <c r="A257" s="5" t="n"/>
      <c r="B257" s="6" t="n"/>
      <c r="C257" s="5" t="n"/>
      <c r="D257" s="5" t="n"/>
      <c r="E257" s="5" t="n"/>
      <c r="F257" s="6" t="n"/>
      <c r="G257" s="6" t="n"/>
      <c r="H257" s="7">
        <f>IF(AND(F257="",G257=""),"", "Risk of """ &amp; F257 &amp; """ because of """ &amp; SUBSTITUTE(G257, ", ", """ and """) &amp; """")</f>
        <v/>
      </c>
      <c r="I257" s="5" t="n"/>
      <c r="J257" s="5" t="n"/>
      <c r="K257" s="5" t="n"/>
      <c r="L257" s="8">
        <f>IF(E257="Confidential", 4, IF(E257="Sensitive", 3, IF(E257="Private", 2, IF(E257="Public", 1, ""))))</f>
        <v/>
      </c>
      <c r="M257" s="5" t="n"/>
      <c r="N257" s="8">
        <f>IF(OR(L257="",M257=""), "", L257*M257)</f>
        <v/>
      </c>
      <c r="O257" s="8">
        <f>IF(N257="","", IF(N257&gt;6, "High", IF(N257&gt;=4, "Medium", "Low")))</f>
        <v/>
      </c>
      <c r="P257" s="6" t="n"/>
      <c r="Q257" s="5" t="n"/>
      <c r="R257" s="5" t="n"/>
      <c r="S257" s="5" t="n"/>
      <c r="T257" s="6" t="n"/>
      <c r="U257" s="6" t="n"/>
      <c r="V257" s="6" t="n"/>
      <c r="W257" s="6" t="n"/>
      <c r="X257" s="6" t="n"/>
      <c r="Y257" s="6" t="n"/>
    </row>
    <row r="258" ht="22" customHeight="1">
      <c r="A258" s="5" t="n"/>
      <c r="B258" s="6" t="n"/>
      <c r="C258" s="5" t="n"/>
      <c r="D258" s="5" t="n"/>
      <c r="E258" s="5" t="n"/>
      <c r="F258" s="6" t="n"/>
      <c r="G258" s="6" t="n"/>
      <c r="H258" s="7">
        <f>IF(AND(F258="",G258=""),"", "Risk of """ &amp; F258 &amp; """ because of """ &amp; SUBSTITUTE(G258, ", ", """ and """) &amp; """")</f>
        <v/>
      </c>
      <c r="I258" s="5" t="n"/>
      <c r="J258" s="5" t="n"/>
      <c r="K258" s="5" t="n"/>
      <c r="L258" s="8">
        <f>IF(E258="Confidential", 4, IF(E258="Sensitive", 3, IF(E258="Private", 2, IF(E258="Public", 1, ""))))</f>
        <v/>
      </c>
      <c r="M258" s="5" t="n"/>
      <c r="N258" s="8">
        <f>IF(OR(L258="",M258=""), "", L258*M258)</f>
        <v/>
      </c>
      <c r="O258" s="8">
        <f>IF(N258="","", IF(N258&gt;6, "High", IF(N258&gt;=4, "Medium", "Low")))</f>
        <v/>
      </c>
      <c r="P258" s="6" t="n"/>
      <c r="Q258" s="5" t="n"/>
      <c r="R258" s="5" t="n"/>
      <c r="S258" s="5" t="n"/>
      <c r="T258" s="6" t="n"/>
      <c r="U258" s="6" t="n"/>
      <c r="V258" s="6" t="n"/>
      <c r="W258" s="6" t="n"/>
      <c r="X258" s="6" t="n"/>
      <c r="Y258" s="6" t="n"/>
    </row>
    <row r="259" ht="22" customHeight="1">
      <c r="A259" s="5" t="n"/>
      <c r="B259" s="6" t="n"/>
      <c r="C259" s="5" t="n"/>
      <c r="D259" s="5" t="n"/>
      <c r="E259" s="5" t="n"/>
      <c r="F259" s="6" t="n"/>
      <c r="G259" s="6" t="n"/>
      <c r="H259" s="7">
        <f>IF(AND(F259="",G259=""),"", "Risk of """ &amp; F259 &amp; """ because of """ &amp; SUBSTITUTE(G259, ", ", """ and """) &amp; """")</f>
        <v/>
      </c>
      <c r="I259" s="5" t="n"/>
      <c r="J259" s="5" t="n"/>
      <c r="K259" s="5" t="n"/>
      <c r="L259" s="8">
        <f>IF(E259="Confidential", 4, IF(E259="Sensitive", 3, IF(E259="Private", 2, IF(E259="Public", 1, ""))))</f>
        <v/>
      </c>
      <c r="M259" s="5" t="n"/>
      <c r="N259" s="8">
        <f>IF(OR(L259="",M259=""), "", L259*M259)</f>
        <v/>
      </c>
      <c r="O259" s="8">
        <f>IF(N259="","", IF(N259&gt;6, "High", IF(N259&gt;=4, "Medium", "Low")))</f>
        <v/>
      </c>
      <c r="P259" s="6" t="n"/>
      <c r="Q259" s="5" t="n"/>
      <c r="R259" s="5" t="n"/>
      <c r="S259" s="5" t="n"/>
      <c r="T259" s="6" t="n"/>
      <c r="U259" s="6" t="n"/>
      <c r="V259" s="6" t="n"/>
      <c r="W259" s="6" t="n"/>
      <c r="X259" s="6" t="n"/>
      <c r="Y259" s="6" t="n"/>
    </row>
    <row r="260" ht="22" customHeight="1">
      <c r="A260" s="5" t="n"/>
      <c r="B260" s="6" t="n"/>
      <c r="C260" s="5" t="n"/>
      <c r="D260" s="5" t="n"/>
      <c r="E260" s="5" t="n"/>
      <c r="F260" s="6" t="n"/>
      <c r="G260" s="6" t="n"/>
      <c r="H260" s="7">
        <f>IF(AND(F260="",G260=""),"", "Risk of """ &amp; F260 &amp; """ because of """ &amp; SUBSTITUTE(G260, ", ", """ and """) &amp; """")</f>
        <v/>
      </c>
      <c r="I260" s="5" t="n"/>
      <c r="J260" s="5" t="n"/>
      <c r="K260" s="5" t="n"/>
      <c r="L260" s="8">
        <f>IF(E260="Confidential", 4, IF(E260="Sensitive", 3, IF(E260="Private", 2, IF(E260="Public", 1, ""))))</f>
        <v/>
      </c>
      <c r="M260" s="5" t="n"/>
      <c r="N260" s="8">
        <f>IF(OR(L260="",M260=""), "", L260*M260)</f>
        <v/>
      </c>
      <c r="O260" s="8">
        <f>IF(N260="","", IF(N260&gt;6, "High", IF(N260&gt;=4, "Medium", "Low")))</f>
        <v/>
      </c>
      <c r="P260" s="6" t="n"/>
      <c r="Q260" s="5" t="n"/>
      <c r="R260" s="5" t="n"/>
      <c r="S260" s="5" t="n"/>
      <c r="T260" s="6" t="n"/>
      <c r="U260" s="6" t="n"/>
      <c r="V260" s="6" t="n"/>
      <c r="W260" s="6" t="n"/>
      <c r="X260" s="6" t="n"/>
      <c r="Y260" s="6" t="n"/>
    </row>
    <row r="261" ht="22" customHeight="1">
      <c r="A261" s="5" t="n"/>
      <c r="B261" s="6" t="n"/>
      <c r="C261" s="5" t="n"/>
      <c r="D261" s="5" t="n"/>
      <c r="E261" s="5" t="n"/>
      <c r="F261" s="6" t="n"/>
      <c r="G261" s="6" t="n"/>
      <c r="H261" s="7">
        <f>IF(AND(F261="",G261=""),"", "Risk of """ &amp; F261 &amp; """ because of """ &amp; SUBSTITUTE(G261, ", ", """ and """) &amp; """")</f>
        <v/>
      </c>
      <c r="I261" s="5" t="n"/>
      <c r="J261" s="5" t="n"/>
      <c r="K261" s="5" t="n"/>
      <c r="L261" s="8">
        <f>IF(E261="Confidential", 4, IF(E261="Sensitive", 3, IF(E261="Private", 2, IF(E261="Public", 1, ""))))</f>
        <v/>
      </c>
      <c r="M261" s="5" t="n"/>
      <c r="N261" s="8">
        <f>IF(OR(L261="",M261=""), "", L261*M261)</f>
        <v/>
      </c>
      <c r="O261" s="8">
        <f>IF(N261="","", IF(N261&gt;6, "High", IF(N261&gt;=4, "Medium", "Low")))</f>
        <v/>
      </c>
      <c r="P261" s="6" t="n"/>
      <c r="Q261" s="5" t="n"/>
      <c r="R261" s="5" t="n"/>
      <c r="S261" s="5" t="n"/>
      <c r="T261" s="6" t="n"/>
      <c r="U261" s="6" t="n"/>
      <c r="V261" s="6" t="n"/>
      <c r="W261" s="6" t="n"/>
      <c r="X261" s="6" t="n"/>
      <c r="Y261" s="6" t="n"/>
    </row>
    <row r="262" ht="22" customHeight="1">
      <c r="A262" s="5" t="n"/>
      <c r="B262" s="6" t="n"/>
      <c r="C262" s="5" t="n"/>
      <c r="D262" s="5" t="n"/>
      <c r="E262" s="5" t="n"/>
      <c r="F262" s="6" t="n"/>
      <c r="G262" s="6" t="n"/>
      <c r="H262" s="7">
        <f>IF(AND(F262="",G262=""),"", "Risk of """ &amp; F262 &amp; """ because of """ &amp; SUBSTITUTE(G262, ", ", """ and """) &amp; """")</f>
        <v/>
      </c>
      <c r="I262" s="5" t="n"/>
      <c r="J262" s="5" t="n"/>
      <c r="K262" s="5" t="n"/>
      <c r="L262" s="8">
        <f>IF(E262="Confidential", 4, IF(E262="Sensitive", 3, IF(E262="Private", 2, IF(E262="Public", 1, ""))))</f>
        <v/>
      </c>
      <c r="M262" s="5" t="n"/>
      <c r="N262" s="8">
        <f>IF(OR(L262="",M262=""), "", L262*M262)</f>
        <v/>
      </c>
      <c r="O262" s="8">
        <f>IF(N262="","", IF(N262&gt;6, "High", IF(N262&gt;=4, "Medium", "Low")))</f>
        <v/>
      </c>
      <c r="P262" s="6" t="n"/>
      <c r="Q262" s="5" t="n"/>
      <c r="R262" s="5" t="n"/>
      <c r="S262" s="5" t="n"/>
      <c r="T262" s="6" t="n"/>
      <c r="U262" s="6" t="n"/>
      <c r="V262" s="6" t="n"/>
      <c r="W262" s="6" t="n"/>
      <c r="X262" s="6" t="n"/>
      <c r="Y262" s="6" t="n"/>
    </row>
    <row r="263" ht="22" customHeight="1">
      <c r="A263" s="5" t="n"/>
      <c r="B263" s="6" t="n"/>
      <c r="C263" s="5" t="n"/>
      <c r="D263" s="5" t="n"/>
      <c r="E263" s="5" t="n"/>
      <c r="F263" s="6" t="n"/>
      <c r="G263" s="6" t="n"/>
      <c r="H263" s="7">
        <f>IF(AND(F263="",G263=""),"", "Risk of """ &amp; F263 &amp; """ because of """ &amp; SUBSTITUTE(G263, ", ", """ and """) &amp; """")</f>
        <v/>
      </c>
      <c r="I263" s="5" t="n"/>
      <c r="J263" s="5" t="n"/>
      <c r="K263" s="5" t="n"/>
      <c r="L263" s="8">
        <f>IF(E263="Confidential", 4, IF(E263="Sensitive", 3, IF(E263="Private", 2, IF(E263="Public", 1, ""))))</f>
        <v/>
      </c>
      <c r="M263" s="5" t="n"/>
      <c r="N263" s="8">
        <f>IF(OR(L263="",M263=""), "", L263*M263)</f>
        <v/>
      </c>
      <c r="O263" s="8">
        <f>IF(N263="","", IF(N263&gt;6, "High", IF(N263&gt;=4, "Medium", "Low")))</f>
        <v/>
      </c>
      <c r="P263" s="6" t="n"/>
      <c r="Q263" s="5" t="n"/>
      <c r="R263" s="5" t="n"/>
      <c r="S263" s="5" t="n"/>
      <c r="T263" s="6" t="n"/>
      <c r="U263" s="6" t="n"/>
      <c r="V263" s="6" t="n"/>
      <c r="W263" s="6" t="n"/>
      <c r="X263" s="6" t="n"/>
      <c r="Y263" s="6" t="n"/>
    </row>
    <row r="264" ht="22" customHeight="1">
      <c r="A264" s="5" t="n"/>
      <c r="B264" s="6" t="n"/>
      <c r="C264" s="5" t="n"/>
      <c r="D264" s="5" t="n"/>
      <c r="E264" s="5" t="n"/>
      <c r="F264" s="6" t="n"/>
      <c r="G264" s="6" t="n"/>
      <c r="H264" s="7">
        <f>IF(AND(F264="",G264=""),"", "Risk of """ &amp; F264 &amp; """ because of """ &amp; SUBSTITUTE(G264, ", ", """ and """) &amp; """")</f>
        <v/>
      </c>
      <c r="I264" s="5" t="n"/>
      <c r="J264" s="5" t="n"/>
      <c r="K264" s="5" t="n"/>
      <c r="L264" s="8">
        <f>IF(E264="Confidential", 4, IF(E264="Sensitive", 3, IF(E264="Private", 2, IF(E264="Public", 1, ""))))</f>
        <v/>
      </c>
      <c r="M264" s="5" t="n"/>
      <c r="N264" s="8">
        <f>IF(OR(L264="",M264=""), "", L264*M264)</f>
        <v/>
      </c>
      <c r="O264" s="8">
        <f>IF(N264="","", IF(N264&gt;6, "High", IF(N264&gt;=4, "Medium", "Low")))</f>
        <v/>
      </c>
      <c r="P264" s="6" t="n"/>
      <c r="Q264" s="5" t="n"/>
      <c r="R264" s="5" t="n"/>
      <c r="S264" s="5" t="n"/>
      <c r="T264" s="6" t="n"/>
      <c r="U264" s="6" t="n"/>
      <c r="V264" s="6" t="n"/>
      <c r="W264" s="6" t="n"/>
      <c r="X264" s="6" t="n"/>
      <c r="Y264" s="6" t="n"/>
    </row>
    <row r="265" ht="22" customHeight="1">
      <c r="A265" s="5" t="n"/>
      <c r="B265" s="6" t="n"/>
      <c r="C265" s="5" t="n"/>
      <c r="D265" s="5" t="n"/>
      <c r="E265" s="5" t="n"/>
      <c r="F265" s="6" t="n"/>
      <c r="G265" s="6" t="n"/>
      <c r="H265" s="7">
        <f>IF(AND(F265="",G265=""),"", "Risk of """ &amp; F265 &amp; """ because of """ &amp; SUBSTITUTE(G265, ", ", """ and """) &amp; """")</f>
        <v/>
      </c>
      <c r="I265" s="5" t="n"/>
      <c r="J265" s="5" t="n"/>
      <c r="K265" s="5" t="n"/>
      <c r="L265" s="8">
        <f>IF(E265="Confidential", 4, IF(E265="Sensitive", 3, IF(E265="Private", 2, IF(E265="Public", 1, ""))))</f>
        <v/>
      </c>
      <c r="M265" s="5" t="n"/>
      <c r="N265" s="8">
        <f>IF(OR(L265="",M265=""), "", L265*M265)</f>
        <v/>
      </c>
      <c r="O265" s="8">
        <f>IF(N265="","", IF(N265&gt;6, "High", IF(N265&gt;=4, "Medium", "Low")))</f>
        <v/>
      </c>
      <c r="P265" s="6" t="n"/>
      <c r="Q265" s="5" t="n"/>
      <c r="R265" s="5" t="n"/>
      <c r="S265" s="5" t="n"/>
      <c r="T265" s="6" t="n"/>
      <c r="U265" s="6" t="n"/>
      <c r="V265" s="6" t="n"/>
      <c r="W265" s="6" t="n"/>
      <c r="X265" s="6" t="n"/>
      <c r="Y265" s="6" t="n"/>
    </row>
    <row r="266" ht="22" customHeight="1">
      <c r="A266" s="5" t="n"/>
      <c r="B266" s="6" t="n"/>
      <c r="C266" s="5" t="n"/>
      <c r="D266" s="5" t="n"/>
      <c r="E266" s="5" t="n"/>
      <c r="F266" s="6" t="n"/>
      <c r="G266" s="6" t="n"/>
      <c r="H266" s="7">
        <f>IF(AND(F266="",G266=""),"", "Risk of """ &amp; F266 &amp; """ because of """ &amp; SUBSTITUTE(G266, ", ", """ and """) &amp; """")</f>
        <v/>
      </c>
      <c r="I266" s="5" t="n"/>
      <c r="J266" s="5" t="n"/>
      <c r="K266" s="5" t="n"/>
      <c r="L266" s="8">
        <f>IF(E266="Confidential", 4, IF(E266="Sensitive", 3, IF(E266="Private", 2, IF(E266="Public", 1, ""))))</f>
        <v/>
      </c>
      <c r="M266" s="5" t="n"/>
      <c r="N266" s="8">
        <f>IF(OR(L266="",M266=""), "", L266*M266)</f>
        <v/>
      </c>
      <c r="O266" s="8">
        <f>IF(N266="","", IF(N266&gt;6, "High", IF(N266&gt;=4, "Medium", "Low")))</f>
        <v/>
      </c>
      <c r="P266" s="6" t="n"/>
      <c r="Q266" s="5" t="n"/>
      <c r="R266" s="5" t="n"/>
      <c r="S266" s="5" t="n"/>
      <c r="T266" s="6" t="n"/>
      <c r="U266" s="6" t="n"/>
      <c r="V266" s="6" t="n"/>
      <c r="W266" s="6" t="n"/>
      <c r="X266" s="6" t="n"/>
      <c r="Y266" s="6" t="n"/>
    </row>
    <row r="267" ht="22" customHeight="1">
      <c r="A267" s="5" t="n"/>
      <c r="B267" s="6" t="n"/>
      <c r="C267" s="5" t="n"/>
      <c r="D267" s="5" t="n"/>
      <c r="E267" s="5" t="n"/>
      <c r="F267" s="6" t="n"/>
      <c r="G267" s="6" t="n"/>
      <c r="H267" s="7">
        <f>IF(AND(F267="",G267=""),"", "Risk of """ &amp; F267 &amp; """ because of """ &amp; SUBSTITUTE(G267, ", ", """ and """) &amp; """")</f>
        <v/>
      </c>
      <c r="I267" s="5" t="n"/>
      <c r="J267" s="5" t="n"/>
      <c r="K267" s="5" t="n"/>
      <c r="L267" s="8">
        <f>IF(E267="Confidential", 4, IF(E267="Sensitive", 3, IF(E267="Private", 2, IF(E267="Public", 1, ""))))</f>
        <v/>
      </c>
      <c r="M267" s="5" t="n"/>
      <c r="N267" s="8">
        <f>IF(OR(L267="",M267=""), "", L267*M267)</f>
        <v/>
      </c>
      <c r="O267" s="8">
        <f>IF(N267="","", IF(N267&gt;6, "High", IF(N267&gt;=4, "Medium", "Low")))</f>
        <v/>
      </c>
      <c r="P267" s="6" t="n"/>
      <c r="Q267" s="5" t="n"/>
      <c r="R267" s="5" t="n"/>
      <c r="S267" s="5" t="n"/>
      <c r="T267" s="6" t="n"/>
      <c r="U267" s="6" t="n"/>
      <c r="V267" s="6" t="n"/>
      <c r="W267" s="6" t="n"/>
      <c r="X267" s="6" t="n"/>
      <c r="Y267" s="6" t="n"/>
    </row>
    <row r="268" ht="22" customHeight="1">
      <c r="A268" s="5" t="n"/>
      <c r="B268" s="6" t="n"/>
      <c r="C268" s="5" t="n"/>
      <c r="D268" s="5" t="n"/>
      <c r="E268" s="5" t="n"/>
      <c r="F268" s="6" t="n"/>
      <c r="G268" s="6" t="n"/>
      <c r="H268" s="7">
        <f>IF(AND(F268="",G268=""),"", "Risk of """ &amp; F268 &amp; """ because of """ &amp; SUBSTITUTE(G268, ", ", """ and """) &amp; """")</f>
        <v/>
      </c>
      <c r="I268" s="5" t="n"/>
      <c r="J268" s="5" t="n"/>
      <c r="K268" s="5" t="n"/>
      <c r="L268" s="8">
        <f>IF(E268="Confidential", 4, IF(E268="Sensitive", 3, IF(E268="Private", 2, IF(E268="Public", 1, ""))))</f>
        <v/>
      </c>
      <c r="M268" s="5" t="n"/>
      <c r="N268" s="8">
        <f>IF(OR(L268="",M268=""), "", L268*M268)</f>
        <v/>
      </c>
      <c r="O268" s="8">
        <f>IF(N268="","", IF(N268&gt;6, "High", IF(N268&gt;=4, "Medium", "Low")))</f>
        <v/>
      </c>
      <c r="P268" s="6" t="n"/>
      <c r="Q268" s="5" t="n"/>
      <c r="R268" s="5" t="n"/>
      <c r="S268" s="5" t="n"/>
      <c r="T268" s="6" t="n"/>
      <c r="U268" s="6" t="n"/>
      <c r="V268" s="6" t="n"/>
      <c r="W268" s="6" t="n"/>
      <c r="X268" s="6" t="n"/>
      <c r="Y268" s="6" t="n"/>
    </row>
    <row r="269" ht="22" customHeight="1">
      <c r="A269" s="5" t="n"/>
      <c r="B269" s="6" t="n"/>
      <c r="C269" s="5" t="n"/>
      <c r="D269" s="5" t="n"/>
      <c r="E269" s="5" t="n"/>
      <c r="F269" s="6" t="n"/>
      <c r="G269" s="6" t="n"/>
      <c r="H269" s="7">
        <f>IF(AND(F269="",G269=""),"", "Risk of """ &amp; F269 &amp; """ because of """ &amp; SUBSTITUTE(G269, ", ", """ and """) &amp; """")</f>
        <v/>
      </c>
      <c r="I269" s="5" t="n"/>
      <c r="J269" s="5" t="n"/>
      <c r="K269" s="5" t="n"/>
      <c r="L269" s="8">
        <f>IF(E269="Confidential", 4, IF(E269="Sensitive", 3, IF(E269="Private", 2, IF(E269="Public", 1, ""))))</f>
        <v/>
      </c>
      <c r="M269" s="5" t="n"/>
      <c r="N269" s="8">
        <f>IF(OR(L269="",M269=""), "", L269*M269)</f>
        <v/>
      </c>
      <c r="O269" s="8">
        <f>IF(N269="","", IF(N269&gt;6, "High", IF(N269&gt;=4, "Medium", "Low")))</f>
        <v/>
      </c>
      <c r="P269" s="6" t="n"/>
      <c r="Q269" s="5" t="n"/>
      <c r="R269" s="5" t="n"/>
      <c r="S269" s="5" t="n"/>
      <c r="T269" s="6" t="n"/>
      <c r="U269" s="6" t="n"/>
      <c r="V269" s="6" t="n"/>
      <c r="W269" s="6" t="n"/>
      <c r="X269" s="6" t="n"/>
      <c r="Y269" s="6" t="n"/>
    </row>
    <row r="270" ht="22" customHeight="1">
      <c r="A270" s="5" t="n"/>
      <c r="B270" s="6" t="n"/>
      <c r="C270" s="5" t="n"/>
      <c r="D270" s="5" t="n"/>
      <c r="E270" s="5" t="n"/>
      <c r="F270" s="6" t="n"/>
      <c r="G270" s="6" t="n"/>
      <c r="H270" s="7">
        <f>IF(AND(F270="",G270=""),"", "Risk of """ &amp; F270 &amp; """ because of """ &amp; SUBSTITUTE(G270, ", ", """ and """) &amp; """")</f>
        <v/>
      </c>
      <c r="I270" s="5" t="n"/>
      <c r="J270" s="5" t="n"/>
      <c r="K270" s="5" t="n"/>
      <c r="L270" s="8">
        <f>IF(E270="Confidential", 4, IF(E270="Sensitive", 3, IF(E270="Private", 2, IF(E270="Public", 1, ""))))</f>
        <v/>
      </c>
      <c r="M270" s="5" t="n"/>
      <c r="N270" s="8">
        <f>IF(OR(L270="",M270=""), "", L270*M270)</f>
        <v/>
      </c>
      <c r="O270" s="8">
        <f>IF(N270="","", IF(N270&gt;6, "High", IF(N270&gt;=4, "Medium", "Low")))</f>
        <v/>
      </c>
      <c r="P270" s="6" t="n"/>
      <c r="Q270" s="5" t="n"/>
      <c r="R270" s="5" t="n"/>
      <c r="S270" s="5" t="n"/>
      <c r="T270" s="6" t="n"/>
      <c r="U270" s="6" t="n"/>
      <c r="V270" s="6" t="n"/>
      <c r="W270" s="6" t="n"/>
      <c r="X270" s="6" t="n"/>
      <c r="Y270" s="6" t="n"/>
    </row>
    <row r="271" ht="22" customHeight="1">
      <c r="A271" s="5" t="n"/>
      <c r="B271" s="6" t="n"/>
      <c r="C271" s="5" t="n"/>
      <c r="D271" s="5" t="n"/>
      <c r="E271" s="5" t="n"/>
      <c r="F271" s="6" t="n"/>
      <c r="G271" s="6" t="n"/>
      <c r="H271" s="7">
        <f>IF(AND(F271="",G271=""),"", "Risk of """ &amp; F271 &amp; """ because of """ &amp; SUBSTITUTE(G271, ", ", """ and """) &amp; """")</f>
        <v/>
      </c>
      <c r="I271" s="5" t="n"/>
      <c r="J271" s="5" t="n"/>
      <c r="K271" s="5" t="n"/>
      <c r="L271" s="8">
        <f>IF(E271="Confidential", 4, IF(E271="Sensitive", 3, IF(E271="Private", 2, IF(E271="Public", 1, ""))))</f>
        <v/>
      </c>
      <c r="M271" s="5" t="n"/>
      <c r="N271" s="8">
        <f>IF(OR(L271="",M271=""), "", L271*M271)</f>
        <v/>
      </c>
      <c r="O271" s="8">
        <f>IF(N271="","", IF(N271&gt;6, "High", IF(N271&gt;=4, "Medium", "Low")))</f>
        <v/>
      </c>
      <c r="P271" s="6" t="n"/>
      <c r="Q271" s="5" t="n"/>
      <c r="R271" s="5" t="n"/>
      <c r="S271" s="5" t="n"/>
      <c r="T271" s="6" t="n"/>
      <c r="U271" s="6" t="n"/>
      <c r="V271" s="6" t="n"/>
      <c r="W271" s="6" t="n"/>
      <c r="X271" s="6" t="n"/>
      <c r="Y271" s="6" t="n"/>
    </row>
    <row r="272" ht="22" customHeight="1">
      <c r="A272" s="5" t="n"/>
      <c r="B272" s="6" t="n"/>
      <c r="C272" s="5" t="n"/>
      <c r="D272" s="5" t="n"/>
      <c r="E272" s="5" t="n"/>
      <c r="F272" s="6" t="n"/>
      <c r="G272" s="6" t="n"/>
      <c r="H272" s="7">
        <f>IF(AND(F272="",G272=""),"", "Risk of """ &amp; F272 &amp; """ because of """ &amp; SUBSTITUTE(G272, ", ", """ and """) &amp; """")</f>
        <v/>
      </c>
      <c r="I272" s="5" t="n"/>
      <c r="J272" s="5" t="n"/>
      <c r="K272" s="5" t="n"/>
      <c r="L272" s="8">
        <f>IF(E272="Confidential", 4, IF(E272="Sensitive", 3, IF(E272="Private", 2, IF(E272="Public", 1, ""))))</f>
        <v/>
      </c>
      <c r="M272" s="5" t="n"/>
      <c r="N272" s="8">
        <f>IF(OR(L272="",M272=""), "", L272*M272)</f>
        <v/>
      </c>
      <c r="O272" s="8">
        <f>IF(N272="","", IF(N272&gt;6, "High", IF(N272&gt;=4, "Medium", "Low")))</f>
        <v/>
      </c>
      <c r="P272" s="6" t="n"/>
      <c r="Q272" s="5" t="n"/>
      <c r="R272" s="5" t="n"/>
      <c r="S272" s="5" t="n"/>
      <c r="T272" s="6" t="n"/>
      <c r="U272" s="6" t="n"/>
      <c r="V272" s="6" t="n"/>
      <c r="W272" s="6" t="n"/>
      <c r="X272" s="6" t="n"/>
      <c r="Y272" s="6" t="n"/>
    </row>
    <row r="273" ht="22" customHeight="1">
      <c r="A273" s="5" t="n"/>
      <c r="B273" s="6" t="n"/>
      <c r="C273" s="5" t="n"/>
      <c r="D273" s="5" t="n"/>
      <c r="E273" s="5" t="n"/>
      <c r="F273" s="6" t="n"/>
      <c r="G273" s="6" t="n"/>
      <c r="H273" s="7">
        <f>IF(AND(F273="",G273=""),"", "Risk of """ &amp; F273 &amp; """ because of """ &amp; SUBSTITUTE(G273, ", ", """ and """) &amp; """")</f>
        <v/>
      </c>
      <c r="I273" s="5" t="n"/>
      <c r="J273" s="5" t="n"/>
      <c r="K273" s="5" t="n"/>
      <c r="L273" s="8">
        <f>IF(E273="Confidential", 4, IF(E273="Sensitive", 3, IF(E273="Private", 2, IF(E273="Public", 1, ""))))</f>
        <v/>
      </c>
      <c r="M273" s="5" t="n"/>
      <c r="N273" s="8">
        <f>IF(OR(L273="",M273=""), "", L273*M273)</f>
        <v/>
      </c>
      <c r="O273" s="8">
        <f>IF(N273="","", IF(N273&gt;6, "High", IF(N273&gt;=4, "Medium", "Low")))</f>
        <v/>
      </c>
      <c r="P273" s="6" t="n"/>
      <c r="Q273" s="5" t="n"/>
      <c r="R273" s="5" t="n"/>
      <c r="S273" s="5" t="n"/>
      <c r="T273" s="6" t="n"/>
      <c r="U273" s="6" t="n"/>
      <c r="V273" s="6" t="n"/>
      <c r="W273" s="6" t="n"/>
      <c r="X273" s="6" t="n"/>
      <c r="Y273" s="6" t="n"/>
    </row>
    <row r="274" ht="22" customHeight="1">
      <c r="A274" s="5" t="n"/>
      <c r="B274" s="6" t="n"/>
      <c r="C274" s="5" t="n"/>
      <c r="D274" s="5" t="n"/>
      <c r="E274" s="5" t="n"/>
      <c r="F274" s="6" t="n"/>
      <c r="G274" s="6" t="n"/>
      <c r="H274" s="7">
        <f>IF(AND(F274="",G274=""),"", "Risk of """ &amp; F274 &amp; """ because of """ &amp; SUBSTITUTE(G274, ", ", """ and """) &amp; """")</f>
        <v/>
      </c>
      <c r="I274" s="5" t="n"/>
      <c r="J274" s="5" t="n"/>
      <c r="K274" s="5" t="n"/>
      <c r="L274" s="8">
        <f>IF(E274="Confidential", 4, IF(E274="Sensitive", 3, IF(E274="Private", 2, IF(E274="Public", 1, ""))))</f>
        <v/>
      </c>
      <c r="M274" s="5" t="n"/>
      <c r="N274" s="8">
        <f>IF(OR(L274="",M274=""), "", L274*M274)</f>
        <v/>
      </c>
      <c r="O274" s="8">
        <f>IF(N274="","", IF(N274&gt;6, "High", IF(N274&gt;=4, "Medium", "Low")))</f>
        <v/>
      </c>
      <c r="P274" s="6" t="n"/>
      <c r="Q274" s="5" t="n"/>
      <c r="R274" s="5" t="n"/>
      <c r="S274" s="5" t="n"/>
      <c r="T274" s="6" t="n"/>
      <c r="U274" s="6" t="n"/>
      <c r="V274" s="6" t="n"/>
      <c r="W274" s="6" t="n"/>
      <c r="X274" s="6" t="n"/>
      <c r="Y274" s="6" t="n"/>
    </row>
    <row r="275" ht="22" customHeight="1">
      <c r="A275" s="5" t="n"/>
      <c r="B275" s="6" t="n"/>
      <c r="C275" s="5" t="n"/>
      <c r="D275" s="5" t="n"/>
      <c r="E275" s="5" t="n"/>
      <c r="F275" s="6" t="n"/>
      <c r="G275" s="6" t="n"/>
      <c r="H275" s="7">
        <f>IF(AND(F275="",G275=""),"", "Risk of """ &amp; F275 &amp; """ because of """ &amp; SUBSTITUTE(G275, ", ", """ and """) &amp; """")</f>
        <v/>
      </c>
      <c r="I275" s="5" t="n"/>
      <c r="J275" s="5" t="n"/>
      <c r="K275" s="5" t="n"/>
      <c r="L275" s="8">
        <f>IF(E275="Confidential", 4, IF(E275="Sensitive", 3, IF(E275="Private", 2, IF(E275="Public", 1, ""))))</f>
        <v/>
      </c>
      <c r="M275" s="5" t="n"/>
      <c r="N275" s="8">
        <f>IF(OR(L275="",M275=""), "", L275*M275)</f>
        <v/>
      </c>
      <c r="O275" s="8">
        <f>IF(N275="","", IF(N275&gt;6, "High", IF(N275&gt;=4, "Medium", "Low")))</f>
        <v/>
      </c>
      <c r="P275" s="6" t="n"/>
      <c r="Q275" s="5" t="n"/>
      <c r="R275" s="5" t="n"/>
      <c r="S275" s="5" t="n"/>
      <c r="T275" s="6" t="n"/>
      <c r="U275" s="6" t="n"/>
      <c r="V275" s="6" t="n"/>
      <c r="W275" s="6" t="n"/>
      <c r="X275" s="6" t="n"/>
      <c r="Y275" s="6" t="n"/>
    </row>
    <row r="276" ht="22" customHeight="1">
      <c r="A276" s="5" t="n"/>
      <c r="B276" s="6" t="n"/>
      <c r="C276" s="5" t="n"/>
      <c r="D276" s="5" t="n"/>
      <c r="E276" s="5" t="n"/>
      <c r="F276" s="6" t="n"/>
      <c r="G276" s="6" t="n"/>
      <c r="H276" s="7">
        <f>IF(AND(F276="",G276=""),"", "Risk of """ &amp; F276 &amp; """ because of """ &amp; SUBSTITUTE(G276, ", ", """ and """) &amp; """")</f>
        <v/>
      </c>
      <c r="I276" s="5" t="n"/>
      <c r="J276" s="5" t="n"/>
      <c r="K276" s="5" t="n"/>
      <c r="L276" s="8">
        <f>IF(E276="Confidential", 4, IF(E276="Sensitive", 3, IF(E276="Private", 2, IF(E276="Public", 1, ""))))</f>
        <v/>
      </c>
      <c r="M276" s="5" t="n"/>
      <c r="N276" s="8">
        <f>IF(OR(L276="",M276=""), "", L276*M276)</f>
        <v/>
      </c>
      <c r="O276" s="8">
        <f>IF(N276="","", IF(N276&gt;6, "High", IF(N276&gt;=4, "Medium", "Low")))</f>
        <v/>
      </c>
      <c r="P276" s="6" t="n"/>
      <c r="Q276" s="5" t="n"/>
      <c r="R276" s="5" t="n"/>
      <c r="S276" s="5" t="n"/>
      <c r="T276" s="6" t="n"/>
      <c r="U276" s="6" t="n"/>
      <c r="V276" s="6" t="n"/>
      <c r="W276" s="6" t="n"/>
      <c r="X276" s="6" t="n"/>
      <c r="Y276" s="6" t="n"/>
    </row>
    <row r="277" ht="22" customHeight="1">
      <c r="A277" s="5" t="n"/>
      <c r="B277" s="6" t="n"/>
      <c r="C277" s="5" t="n"/>
      <c r="D277" s="5" t="n"/>
      <c r="E277" s="5" t="n"/>
      <c r="F277" s="6" t="n"/>
      <c r="G277" s="6" t="n"/>
      <c r="H277" s="7">
        <f>IF(AND(F277="",G277=""),"", "Risk of """ &amp; F277 &amp; """ because of """ &amp; SUBSTITUTE(G277, ", ", """ and """) &amp; """")</f>
        <v/>
      </c>
      <c r="I277" s="5" t="n"/>
      <c r="J277" s="5" t="n"/>
      <c r="K277" s="5" t="n"/>
      <c r="L277" s="8">
        <f>IF(E277="Confidential", 4, IF(E277="Sensitive", 3, IF(E277="Private", 2, IF(E277="Public", 1, ""))))</f>
        <v/>
      </c>
      <c r="M277" s="5" t="n"/>
      <c r="N277" s="8">
        <f>IF(OR(L277="",M277=""), "", L277*M277)</f>
        <v/>
      </c>
      <c r="O277" s="8">
        <f>IF(N277="","", IF(N277&gt;6, "High", IF(N277&gt;=4, "Medium", "Low")))</f>
        <v/>
      </c>
      <c r="P277" s="6" t="n"/>
      <c r="Q277" s="5" t="n"/>
      <c r="R277" s="5" t="n"/>
      <c r="S277" s="5" t="n"/>
      <c r="T277" s="6" t="n"/>
      <c r="U277" s="6" t="n"/>
      <c r="V277" s="6" t="n"/>
      <c r="W277" s="6" t="n"/>
      <c r="X277" s="6" t="n"/>
      <c r="Y277" s="6" t="n"/>
    </row>
    <row r="278" ht="22" customHeight="1">
      <c r="A278" s="5" t="n"/>
      <c r="B278" s="6" t="n"/>
      <c r="C278" s="5" t="n"/>
      <c r="D278" s="5" t="n"/>
      <c r="E278" s="5" t="n"/>
      <c r="F278" s="6" t="n"/>
      <c r="G278" s="6" t="n"/>
      <c r="H278" s="7">
        <f>IF(AND(F278="",G278=""),"", "Risk of """ &amp; F278 &amp; """ because of """ &amp; SUBSTITUTE(G278, ", ", """ and """) &amp; """")</f>
        <v/>
      </c>
      <c r="I278" s="5" t="n"/>
      <c r="J278" s="5" t="n"/>
      <c r="K278" s="5" t="n"/>
      <c r="L278" s="8">
        <f>IF(E278="Confidential", 4, IF(E278="Sensitive", 3, IF(E278="Private", 2, IF(E278="Public", 1, ""))))</f>
        <v/>
      </c>
      <c r="M278" s="5" t="n"/>
      <c r="N278" s="8">
        <f>IF(OR(L278="",M278=""), "", L278*M278)</f>
        <v/>
      </c>
      <c r="O278" s="8">
        <f>IF(N278="","", IF(N278&gt;6, "High", IF(N278&gt;=4, "Medium", "Low")))</f>
        <v/>
      </c>
      <c r="P278" s="6" t="n"/>
      <c r="Q278" s="5" t="n"/>
      <c r="R278" s="5" t="n"/>
      <c r="S278" s="5" t="n"/>
      <c r="T278" s="6" t="n"/>
      <c r="U278" s="6" t="n"/>
      <c r="V278" s="6" t="n"/>
      <c r="W278" s="6" t="n"/>
      <c r="X278" s="6" t="n"/>
      <c r="Y278" s="6" t="n"/>
    </row>
    <row r="279" ht="22" customHeight="1">
      <c r="A279" s="5" t="n"/>
      <c r="B279" s="6" t="n"/>
      <c r="C279" s="5" t="n"/>
      <c r="D279" s="5" t="n"/>
      <c r="E279" s="5" t="n"/>
      <c r="F279" s="6" t="n"/>
      <c r="G279" s="6" t="n"/>
      <c r="H279" s="7">
        <f>IF(AND(F279="",G279=""),"", "Risk of """ &amp; F279 &amp; """ because of """ &amp; SUBSTITUTE(G279, ", ", """ and """) &amp; """")</f>
        <v/>
      </c>
      <c r="I279" s="5" t="n"/>
      <c r="J279" s="5" t="n"/>
      <c r="K279" s="5" t="n"/>
      <c r="L279" s="8">
        <f>IF(E279="Confidential", 4, IF(E279="Sensitive", 3, IF(E279="Private", 2, IF(E279="Public", 1, ""))))</f>
        <v/>
      </c>
      <c r="M279" s="5" t="n"/>
      <c r="N279" s="8">
        <f>IF(OR(L279="",M279=""), "", L279*M279)</f>
        <v/>
      </c>
      <c r="O279" s="8">
        <f>IF(N279="","", IF(N279&gt;6, "High", IF(N279&gt;=4, "Medium", "Low")))</f>
        <v/>
      </c>
      <c r="P279" s="6" t="n"/>
      <c r="Q279" s="5" t="n"/>
      <c r="R279" s="5" t="n"/>
      <c r="S279" s="5" t="n"/>
      <c r="T279" s="6" t="n"/>
      <c r="U279" s="6" t="n"/>
      <c r="V279" s="6" t="n"/>
      <c r="W279" s="6" t="n"/>
      <c r="X279" s="6" t="n"/>
      <c r="Y279" s="6" t="n"/>
    </row>
    <row r="280" ht="22" customHeight="1">
      <c r="A280" s="5" t="n"/>
      <c r="B280" s="6" t="n"/>
      <c r="C280" s="5" t="n"/>
      <c r="D280" s="5" t="n"/>
      <c r="E280" s="5" t="n"/>
      <c r="F280" s="6" t="n"/>
      <c r="G280" s="6" t="n"/>
      <c r="H280" s="7">
        <f>IF(AND(F280="",G280=""),"", "Risk of """ &amp; F280 &amp; """ because of """ &amp; SUBSTITUTE(G280, ", ", """ and """) &amp; """")</f>
        <v/>
      </c>
      <c r="I280" s="5" t="n"/>
      <c r="J280" s="5" t="n"/>
      <c r="K280" s="5" t="n"/>
      <c r="L280" s="8">
        <f>IF(E280="Confidential", 4, IF(E280="Sensitive", 3, IF(E280="Private", 2, IF(E280="Public", 1, ""))))</f>
        <v/>
      </c>
      <c r="M280" s="5" t="n"/>
      <c r="N280" s="8">
        <f>IF(OR(L280="",M280=""), "", L280*M280)</f>
        <v/>
      </c>
      <c r="O280" s="8">
        <f>IF(N280="","", IF(N280&gt;6, "High", IF(N280&gt;=4, "Medium", "Low")))</f>
        <v/>
      </c>
      <c r="P280" s="6" t="n"/>
      <c r="Q280" s="5" t="n"/>
      <c r="R280" s="5" t="n"/>
      <c r="S280" s="5" t="n"/>
      <c r="T280" s="6" t="n"/>
      <c r="U280" s="6" t="n"/>
      <c r="V280" s="6" t="n"/>
      <c r="W280" s="6" t="n"/>
      <c r="X280" s="6" t="n"/>
      <c r="Y280" s="6" t="n"/>
    </row>
    <row r="281" ht="22" customHeight="1">
      <c r="A281" s="5" t="n"/>
      <c r="B281" s="6" t="n"/>
      <c r="C281" s="5" t="n"/>
      <c r="D281" s="5" t="n"/>
      <c r="E281" s="5" t="n"/>
      <c r="F281" s="6" t="n"/>
      <c r="G281" s="6" t="n"/>
      <c r="H281" s="7">
        <f>IF(AND(F281="",G281=""),"", "Risk of """ &amp; F281 &amp; """ because of """ &amp; SUBSTITUTE(G281, ", ", """ and """) &amp; """")</f>
        <v/>
      </c>
      <c r="I281" s="5" t="n"/>
      <c r="J281" s="5" t="n"/>
      <c r="K281" s="5" t="n"/>
      <c r="L281" s="8">
        <f>IF(E281="Confidential", 4, IF(E281="Sensitive", 3, IF(E281="Private", 2, IF(E281="Public", 1, ""))))</f>
        <v/>
      </c>
      <c r="M281" s="5" t="n"/>
      <c r="N281" s="8">
        <f>IF(OR(L281="",M281=""), "", L281*M281)</f>
        <v/>
      </c>
      <c r="O281" s="8">
        <f>IF(N281="","", IF(N281&gt;6, "High", IF(N281&gt;=4, "Medium", "Low")))</f>
        <v/>
      </c>
      <c r="P281" s="6" t="n"/>
      <c r="Q281" s="5" t="n"/>
      <c r="R281" s="5" t="n"/>
      <c r="S281" s="5" t="n"/>
      <c r="T281" s="6" t="n"/>
      <c r="U281" s="6" t="n"/>
      <c r="V281" s="6" t="n"/>
      <c r="W281" s="6" t="n"/>
      <c r="X281" s="6" t="n"/>
      <c r="Y281" s="6" t="n"/>
    </row>
    <row r="282" ht="22" customHeight="1">
      <c r="A282" s="5" t="n"/>
      <c r="B282" s="6" t="n"/>
      <c r="C282" s="5" t="n"/>
      <c r="D282" s="5" t="n"/>
      <c r="E282" s="5" t="n"/>
      <c r="F282" s="6" t="n"/>
      <c r="G282" s="6" t="n"/>
      <c r="H282" s="7">
        <f>IF(AND(F282="",G282=""),"", "Risk of """ &amp; F282 &amp; """ because of """ &amp; SUBSTITUTE(G282, ", ", """ and """) &amp; """")</f>
        <v/>
      </c>
      <c r="I282" s="5" t="n"/>
      <c r="J282" s="5" t="n"/>
      <c r="K282" s="5" t="n"/>
      <c r="L282" s="8">
        <f>IF(E282="Confidential", 4, IF(E282="Sensitive", 3, IF(E282="Private", 2, IF(E282="Public", 1, ""))))</f>
        <v/>
      </c>
      <c r="M282" s="5" t="n"/>
      <c r="N282" s="8">
        <f>IF(OR(L282="",M282=""), "", L282*M282)</f>
        <v/>
      </c>
      <c r="O282" s="8">
        <f>IF(N282="","", IF(N282&gt;6, "High", IF(N282&gt;=4, "Medium", "Low")))</f>
        <v/>
      </c>
      <c r="P282" s="6" t="n"/>
      <c r="Q282" s="5" t="n"/>
      <c r="R282" s="5" t="n"/>
      <c r="S282" s="5" t="n"/>
      <c r="T282" s="6" t="n"/>
      <c r="U282" s="6" t="n"/>
      <c r="V282" s="6" t="n"/>
      <c r="W282" s="6" t="n"/>
      <c r="X282" s="6" t="n"/>
      <c r="Y282" s="6" t="n"/>
    </row>
    <row r="283" ht="22" customHeight="1">
      <c r="A283" s="5" t="n"/>
      <c r="B283" s="6" t="n"/>
      <c r="C283" s="5" t="n"/>
      <c r="D283" s="5" t="n"/>
      <c r="E283" s="5" t="n"/>
      <c r="F283" s="6" t="n"/>
      <c r="G283" s="6" t="n"/>
      <c r="H283" s="7">
        <f>IF(AND(F283="",G283=""),"", "Risk of """ &amp; F283 &amp; """ because of """ &amp; SUBSTITUTE(G283, ", ", """ and """) &amp; """")</f>
        <v/>
      </c>
      <c r="I283" s="5" t="n"/>
      <c r="J283" s="5" t="n"/>
      <c r="K283" s="5" t="n"/>
      <c r="L283" s="8">
        <f>IF(E283="Confidential", 4, IF(E283="Sensitive", 3, IF(E283="Private", 2, IF(E283="Public", 1, ""))))</f>
        <v/>
      </c>
      <c r="M283" s="5" t="n"/>
      <c r="N283" s="8">
        <f>IF(OR(L283="",M283=""), "", L283*M283)</f>
        <v/>
      </c>
      <c r="O283" s="8">
        <f>IF(N283="","", IF(N283&gt;6, "High", IF(N283&gt;=4, "Medium", "Low")))</f>
        <v/>
      </c>
      <c r="P283" s="6" t="n"/>
      <c r="Q283" s="5" t="n"/>
      <c r="R283" s="5" t="n"/>
      <c r="S283" s="5" t="n"/>
      <c r="T283" s="6" t="n"/>
      <c r="U283" s="6" t="n"/>
      <c r="V283" s="6" t="n"/>
      <c r="W283" s="6" t="n"/>
      <c r="X283" s="6" t="n"/>
      <c r="Y283" s="6" t="n"/>
    </row>
    <row r="284" ht="22" customHeight="1">
      <c r="A284" s="5" t="n"/>
      <c r="B284" s="6" t="n"/>
      <c r="C284" s="5" t="n"/>
      <c r="D284" s="5" t="n"/>
      <c r="E284" s="5" t="n"/>
      <c r="F284" s="6" t="n"/>
      <c r="G284" s="6" t="n"/>
      <c r="H284" s="7">
        <f>IF(AND(F284="",G284=""),"", "Risk of """ &amp; F284 &amp; """ because of """ &amp; SUBSTITUTE(G284, ", ", """ and """) &amp; """")</f>
        <v/>
      </c>
      <c r="I284" s="5" t="n"/>
      <c r="J284" s="5" t="n"/>
      <c r="K284" s="5" t="n"/>
      <c r="L284" s="8">
        <f>IF(E284="Confidential", 4, IF(E284="Sensitive", 3, IF(E284="Private", 2, IF(E284="Public", 1, ""))))</f>
        <v/>
      </c>
      <c r="M284" s="5" t="n"/>
      <c r="N284" s="8">
        <f>IF(OR(L284="",M284=""), "", L284*M284)</f>
        <v/>
      </c>
      <c r="O284" s="8">
        <f>IF(N284="","", IF(N284&gt;6, "High", IF(N284&gt;=4, "Medium", "Low")))</f>
        <v/>
      </c>
      <c r="P284" s="6" t="n"/>
      <c r="Q284" s="5" t="n"/>
      <c r="R284" s="5" t="n"/>
      <c r="S284" s="5" t="n"/>
      <c r="T284" s="6" t="n"/>
      <c r="U284" s="6" t="n"/>
      <c r="V284" s="6" t="n"/>
      <c r="W284" s="6" t="n"/>
      <c r="X284" s="6" t="n"/>
      <c r="Y284" s="6" t="n"/>
    </row>
    <row r="285" ht="22" customHeight="1">
      <c r="A285" s="5" t="n"/>
      <c r="B285" s="6" t="n"/>
      <c r="C285" s="5" t="n"/>
      <c r="D285" s="5" t="n"/>
      <c r="E285" s="5" t="n"/>
      <c r="F285" s="6" t="n"/>
      <c r="G285" s="6" t="n"/>
      <c r="H285" s="7">
        <f>IF(AND(F285="",G285=""),"", "Risk of """ &amp; F285 &amp; """ because of """ &amp; SUBSTITUTE(G285, ", ", """ and """) &amp; """")</f>
        <v/>
      </c>
      <c r="I285" s="5" t="n"/>
      <c r="J285" s="5" t="n"/>
      <c r="K285" s="5" t="n"/>
      <c r="L285" s="8">
        <f>IF(E285="Confidential", 4, IF(E285="Sensitive", 3, IF(E285="Private", 2, IF(E285="Public", 1, ""))))</f>
        <v/>
      </c>
      <c r="M285" s="5" t="n"/>
      <c r="N285" s="8">
        <f>IF(OR(L285="",M285=""), "", L285*M285)</f>
        <v/>
      </c>
      <c r="O285" s="8">
        <f>IF(N285="","", IF(N285&gt;6, "High", IF(N285&gt;=4, "Medium", "Low")))</f>
        <v/>
      </c>
      <c r="P285" s="6" t="n"/>
      <c r="Q285" s="5" t="n"/>
      <c r="R285" s="5" t="n"/>
      <c r="S285" s="5" t="n"/>
      <c r="T285" s="6" t="n"/>
      <c r="U285" s="6" t="n"/>
      <c r="V285" s="6" t="n"/>
      <c r="W285" s="6" t="n"/>
      <c r="X285" s="6" t="n"/>
      <c r="Y285" s="6" t="n"/>
    </row>
    <row r="286" ht="22" customHeight="1">
      <c r="A286" s="5" t="n"/>
      <c r="B286" s="6" t="n"/>
      <c r="C286" s="5" t="n"/>
      <c r="D286" s="5" t="n"/>
      <c r="E286" s="5" t="n"/>
      <c r="F286" s="6" t="n"/>
      <c r="G286" s="6" t="n"/>
      <c r="H286" s="7">
        <f>IF(AND(F286="",G286=""),"", "Risk of """ &amp; F286 &amp; """ because of """ &amp; SUBSTITUTE(G286, ", ", """ and """) &amp; """")</f>
        <v/>
      </c>
      <c r="I286" s="5" t="n"/>
      <c r="J286" s="5" t="n"/>
      <c r="K286" s="5" t="n"/>
      <c r="L286" s="8">
        <f>IF(E286="Confidential", 4, IF(E286="Sensitive", 3, IF(E286="Private", 2, IF(E286="Public", 1, ""))))</f>
        <v/>
      </c>
      <c r="M286" s="5" t="n"/>
      <c r="N286" s="8">
        <f>IF(OR(L286="",M286=""), "", L286*M286)</f>
        <v/>
      </c>
      <c r="O286" s="8">
        <f>IF(N286="","", IF(N286&gt;6, "High", IF(N286&gt;=4, "Medium", "Low")))</f>
        <v/>
      </c>
      <c r="P286" s="6" t="n"/>
      <c r="Q286" s="5" t="n"/>
      <c r="R286" s="5" t="n"/>
      <c r="S286" s="5" t="n"/>
      <c r="T286" s="6" t="n"/>
      <c r="U286" s="6" t="n"/>
      <c r="V286" s="6" t="n"/>
      <c r="W286" s="6" t="n"/>
      <c r="X286" s="6" t="n"/>
      <c r="Y286" s="6" t="n"/>
    </row>
    <row r="287" ht="22" customHeight="1">
      <c r="A287" s="5" t="n"/>
      <c r="B287" s="6" t="n"/>
      <c r="C287" s="5" t="n"/>
      <c r="D287" s="5" t="n"/>
      <c r="E287" s="5" t="n"/>
      <c r="F287" s="6" t="n"/>
      <c r="G287" s="6" t="n"/>
      <c r="H287" s="7">
        <f>IF(AND(F287="",G287=""),"", "Risk of """ &amp; F287 &amp; """ because of """ &amp; SUBSTITUTE(G287, ", ", """ and """) &amp; """")</f>
        <v/>
      </c>
      <c r="I287" s="5" t="n"/>
      <c r="J287" s="5" t="n"/>
      <c r="K287" s="5" t="n"/>
      <c r="L287" s="8">
        <f>IF(E287="Confidential", 4, IF(E287="Sensitive", 3, IF(E287="Private", 2, IF(E287="Public", 1, ""))))</f>
        <v/>
      </c>
      <c r="M287" s="5" t="n"/>
      <c r="N287" s="8">
        <f>IF(OR(L287="",M287=""), "", L287*M287)</f>
        <v/>
      </c>
      <c r="O287" s="8">
        <f>IF(N287="","", IF(N287&gt;6, "High", IF(N287&gt;=4, "Medium", "Low")))</f>
        <v/>
      </c>
      <c r="P287" s="6" t="n"/>
      <c r="Q287" s="5" t="n"/>
      <c r="R287" s="5" t="n"/>
      <c r="S287" s="5" t="n"/>
      <c r="T287" s="6" t="n"/>
      <c r="U287" s="6" t="n"/>
      <c r="V287" s="6" t="n"/>
      <c r="W287" s="6" t="n"/>
      <c r="X287" s="6" t="n"/>
      <c r="Y287" s="6" t="n"/>
    </row>
    <row r="288" ht="22" customHeight="1">
      <c r="A288" s="5" t="n"/>
      <c r="B288" s="6" t="n"/>
      <c r="C288" s="5" t="n"/>
      <c r="D288" s="5" t="n"/>
      <c r="E288" s="5" t="n"/>
      <c r="F288" s="6" t="n"/>
      <c r="G288" s="6" t="n"/>
      <c r="H288" s="7">
        <f>IF(AND(F288="",G288=""),"", "Risk of """ &amp; F288 &amp; """ because of """ &amp; SUBSTITUTE(G288, ", ", """ and """) &amp; """")</f>
        <v/>
      </c>
      <c r="I288" s="5" t="n"/>
      <c r="J288" s="5" t="n"/>
      <c r="K288" s="5" t="n"/>
      <c r="L288" s="8">
        <f>IF(E288="Confidential", 4, IF(E288="Sensitive", 3, IF(E288="Private", 2, IF(E288="Public", 1, ""))))</f>
        <v/>
      </c>
      <c r="M288" s="5" t="n"/>
      <c r="N288" s="8">
        <f>IF(OR(L288="",M288=""), "", L288*M288)</f>
        <v/>
      </c>
      <c r="O288" s="8">
        <f>IF(N288="","", IF(N288&gt;6, "High", IF(N288&gt;=4, "Medium", "Low")))</f>
        <v/>
      </c>
      <c r="P288" s="6" t="n"/>
      <c r="Q288" s="5" t="n"/>
      <c r="R288" s="5" t="n"/>
      <c r="S288" s="5" t="n"/>
      <c r="T288" s="6" t="n"/>
      <c r="U288" s="6" t="n"/>
      <c r="V288" s="6" t="n"/>
      <c r="W288" s="6" t="n"/>
      <c r="X288" s="6" t="n"/>
      <c r="Y288" s="6" t="n"/>
    </row>
    <row r="289" ht="22" customHeight="1">
      <c r="A289" s="5" t="n"/>
      <c r="B289" s="6" t="n"/>
      <c r="C289" s="5" t="n"/>
      <c r="D289" s="5" t="n"/>
      <c r="E289" s="5" t="n"/>
      <c r="F289" s="6" t="n"/>
      <c r="G289" s="6" t="n"/>
      <c r="H289" s="7">
        <f>IF(AND(F289="",G289=""),"", "Risk of """ &amp; F289 &amp; """ because of """ &amp; SUBSTITUTE(G289, ", ", """ and """) &amp; """")</f>
        <v/>
      </c>
      <c r="I289" s="5" t="n"/>
      <c r="J289" s="5" t="n"/>
      <c r="K289" s="5" t="n"/>
      <c r="L289" s="8">
        <f>IF(E289="Confidential", 4, IF(E289="Sensitive", 3, IF(E289="Private", 2, IF(E289="Public", 1, ""))))</f>
        <v/>
      </c>
      <c r="M289" s="5" t="n"/>
      <c r="N289" s="8">
        <f>IF(OR(L289="",M289=""), "", L289*M289)</f>
        <v/>
      </c>
      <c r="O289" s="8">
        <f>IF(N289="","", IF(N289&gt;6, "High", IF(N289&gt;=4, "Medium", "Low")))</f>
        <v/>
      </c>
      <c r="P289" s="6" t="n"/>
      <c r="Q289" s="5" t="n"/>
      <c r="R289" s="5" t="n"/>
      <c r="S289" s="5" t="n"/>
      <c r="T289" s="6" t="n"/>
      <c r="U289" s="6" t="n"/>
      <c r="V289" s="6" t="n"/>
      <c r="W289" s="6" t="n"/>
      <c r="X289" s="6" t="n"/>
      <c r="Y289" s="6" t="n"/>
    </row>
    <row r="290" ht="22" customHeight="1">
      <c r="A290" s="5" t="n"/>
      <c r="B290" s="6" t="n"/>
      <c r="C290" s="5" t="n"/>
      <c r="D290" s="5" t="n"/>
      <c r="E290" s="5" t="n"/>
      <c r="F290" s="6" t="n"/>
      <c r="G290" s="6" t="n"/>
      <c r="H290" s="7">
        <f>IF(AND(F290="",G290=""),"", "Risk of """ &amp; F290 &amp; """ because of """ &amp; SUBSTITUTE(G290, ", ", """ and """) &amp; """")</f>
        <v/>
      </c>
      <c r="I290" s="5" t="n"/>
      <c r="J290" s="5" t="n"/>
      <c r="K290" s="5" t="n"/>
      <c r="L290" s="8">
        <f>IF(E290="Confidential", 4, IF(E290="Sensitive", 3, IF(E290="Private", 2, IF(E290="Public", 1, ""))))</f>
        <v/>
      </c>
      <c r="M290" s="5" t="n"/>
      <c r="N290" s="8">
        <f>IF(OR(L290="",M290=""), "", L290*M290)</f>
        <v/>
      </c>
      <c r="O290" s="8">
        <f>IF(N290="","", IF(N290&gt;6, "High", IF(N290&gt;=4, "Medium", "Low")))</f>
        <v/>
      </c>
      <c r="P290" s="6" t="n"/>
      <c r="Q290" s="5" t="n"/>
      <c r="R290" s="5" t="n"/>
      <c r="S290" s="5" t="n"/>
      <c r="T290" s="6" t="n"/>
      <c r="U290" s="6" t="n"/>
      <c r="V290" s="6" t="n"/>
      <c r="W290" s="6" t="n"/>
      <c r="X290" s="6" t="n"/>
      <c r="Y290" s="6" t="n"/>
    </row>
    <row r="291" ht="22" customHeight="1">
      <c r="A291" s="5" t="n"/>
      <c r="B291" s="6" t="n"/>
      <c r="C291" s="5" t="n"/>
      <c r="D291" s="5" t="n"/>
      <c r="E291" s="5" t="n"/>
      <c r="F291" s="6" t="n"/>
      <c r="G291" s="6" t="n"/>
      <c r="H291" s="7">
        <f>IF(AND(F291="",G291=""),"", "Risk of """ &amp; F291 &amp; """ because of """ &amp; SUBSTITUTE(G291, ", ", """ and """) &amp; """")</f>
        <v/>
      </c>
      <c r="I291" s="5" t="n"/>
      <c r="J291" s="5" t="n"/>
      <c r="K291" s="5" t="n"/>
      <c r="L291" s="8">
        <f>IF(E291="Confidential", 4, IF(E291="Sensitive", 3, IF(E291="Private", 2, IF(E291="Public", 1, ""))))</f>
        <v/>
      </c>
      <c r="M291" s="5" t="n"/>
      <c r="N291" s="8">
        <f>IF(OR(L291="",M291=""), "", L291*M291)</f>
        <v/>
      </c>
      <c r="O291" s="8">
        <f>IF(N291="","", IF(N291&gt;6, "High", IF(N291&gt;=4, "Medium", "Low")))</f>
        <v/>
      </c>
      <c r="P291" s="6" t="n"/>
      <c r="Q291" s="5" t="n"/>
      <c r="R291" s="5" t="n"/>
      <c r="S291" s="5" t="n"/>
      <c r="T291" s="6" t="n"/>
      <c r="U291" s="6" t="n"/>
      <c r="V291" s="6" t="n"/>
      <c r="W291" s="6" t="n"/>
      <c r="X291" s="6" t="n"/>
      <c r="Y291" s="6" t="n"/>
    </row>
    <row r="292" ht="22" customHeight="1">
      <c r="A292" s="5" t="n"/>
      <c r="B292" s="6" t="n"/>
      <c r="C292" s="5" t="n"/>
      <c r="D292" s="5" t="n"/>
      <c r="E292" s="5" t="n"/>
      <c r="F292" s="6" t="n"/>
      <c r="G292" s="6" t="n"/>
      <c r="H292" s="7">
        <f>IF(AND(F292="",G292=""),"", "Risk of """ &amp; F292 &amp; """ because of """ &amp; SUBSTITUTE(G292, ", ", """ and """) &amp; """")</f>
        <v/>
      </c>
      <c r="I292" s="5" t="n"/>
      <c r="J292" s="5" t="n"/>
      <c r="K292" s="5" t="n"/>
      <c r="L292" s="8">
        <f>IF(E292="Confidential", 4, IF(E292="Sensitive", 3, IF(E292="Private", 2, IF(E292="Public", 1, ""))))</f>
        <v/>
      </c>
      <c r="M292" s="5" t="n"/>
      <c r="N292" s="8">
        <f>IF(OR(L292="",M292=""), "", L292*M292)</f>
        <v/>
      </c>
      <c r="O292" s="8">
        <f>IF(N292="","", IF(N292&gt;6, "High", IF(N292&gt;=4, "Medium", "Low")))</f>
        <v/>
      </c>
      <c r="P292" s="6" t="n"/>
      <c r="Q292" s="5" t="n"/>
      <c r="R292" s="5" t="n"/>
      <c r="S292" s="5" t="n"/>
      <c r="T292" s="6" t="n"/>
      <c r="U292" s="6" t="n"/>
      <c r="V292" s="6" t="n"/>
      <c r="W292" s="6" t="n"/>
      <c r="X292" s="6" t="n"/>
      <c r="Y292" s="6" t="n"/>
    </row>
    <row r="293" ht="22" customHeight="1">
      <c r="A293" s="5" t="n"/>
      <c r="B293" s="6" t="n"/>
      <c r="C293" s="5" t="n"/>
      <c r="D293" s="5" t="n"/>
      <c r="E293" s="5" t="n"/>
      <c r="F293" s="6" t="n"/>
      <c r="G293" s="6" t="n"/>
      <c r="H293" s="7">
        <f>IF(AND(F293="",G293=""),"", "Risk of """ &amp; F293 &amp; """ because of """ &amp; SUBSTITUTE(G293, ", ", """ and """) &amp; """")</f>
        <v/>
      </c>
      <c r="I293" s="5" t="n"/>
      <c r="J293" s="5" t="n"/>
      <c r="K293" s="5" t="n"/>
      <c r="L293" s="8">
        <f>IF(E293="Confidential", 4, IF(E293="Sensitive", 3, IF(E293="Private", 2, IF(E293="Public", 1, ""))))</f>
        <v/>
      </c>
      <c r="M293" s="5" t="n"/>
      <c r="N293" s="8">
        <f>IF(OR(L293="",M293=""), "", L293*M293)</f>
        <v/>
      </c>
      <c r="O293" s="8">
        <f>IF(N293="","", IF(N293&gt;6, "High", IF(N293&gt;=4, "Medium", "Low")))</f>
        <v/>
      </c>
      <c r="P293" s="6" t="n"/>
      <c r="Q293" s="5" t="n"/>
      <c r="R293" s="5" t="n"/>
      <c r="S293" s="5" t="n"/>
      <c r="T293" s="6" t="n"/>
      <c r="U293" s="6" t="n"/>
      <c r="V293" s="6" t="n"/>
      <c r="W293" s="6" t="n"/>
      <c r="X293" s="6" t="n"/>
      <c r="Y293" s="6" t="n"/>
    </row>
    <row r="294" ht="22" customHeight="1">
      <c r="A294" s="5" t="n"/>
      <c r="B294" s="6" t="n"/>
      <c r="C294" s="5" t="n"/>
      <c r="D294" s="5" t="n"/>
      <c r="E294" s="5" t="n"/>
      <c r="F294" s="6" t="n"/>
      <c r="G294" s="6" t="n"/>
      <c r="H294" s="7">
        <f>IF(AND(F294="",G294=""),"", "Risk of """ &amp; F294 &amp; """ because of """ &amp; SUBSTITUTE(G294, ", ", """ and """) &amp; """")</f>
        <v/>
      </c>
      <c r="I294" s="5" t="n"/>
      <c r="J294" s="5" t="n"/>
      <c r="K294" s="5" t="n"/>
      <c r="L294" s="8">
        <f>IF(E294="Confidential", 4, IF(E294="Sensitive", 3, IF(E294="Private", 2, IF(E294="Public", 1, ""))))</f>
        <v/>
      </c>
      <c r="M294" s="5" t="n"/>
      <c r="N294" s="8">
        <f>IF(OR(L294="",M294=""), "", L294*M294)</f>
        <v/>
      </c>
      <c r="O294" s="8">
        <f>IF(N294="","", IF(N294&gt;6, "High", IF(N294&gt;=4, "Medium", "Low")))</f>
        <v/>
      </c>
      <c r="P294" s="6" t="n"/>
      <c r="Q294" s="5" t="n"/>
      <c r="R294" s="5" t="n"/>
      <c r="S294" s="5" t="n"/>
      <c r="T294" s="6" t="n"/>
      <c r="U294" s="6" t="n"/>
      <c r="V294" s="6" t="n"/>
      <c r="W294" s="6" t="n"/>
      <c r="X294" s="6" t="n"/>
      <c r="Y294" s="6" t="n"/>
    </row>
    <row r="295" ht="22" customHeight="1">
      <c r="A295" s="5" t="n"/>
      <c r="B295" s="6" t="n"/>
      <c r="C295" s="5" t="n"/>
      <c r="D295" s="5" t="n"/>
      <c r="E295" s="5" t="n"/>
      <c r="F295" s="6" t="n"/>
      <c r="G295" s="6" t="n"/>
      <c r="H295" s="7">
        <f>IF(AND(F295="",G295=""),"", "Risk of """ &amp; F295 &amp; """ because of """ &amp; SUBSTITUTE(G295, ", ", """ and """) &amp; """")</f>
        <v/>
      </c>
      <c r="I295" s="5" t="n"/>
      <c r="J295" s="5" t="n"/>
      <c r="K295" s="5" t="n"/>
      <c r="L295" s="8">
        <f>IF(E295="Confidential", 4, IF(E295="Sensitive", 3, IF(E295="Private", 2, IF(E295="Public", 1, ""))))</f>
        <v/>
      </c>
      <c r="M295" s="5" t="n"/>
      <c r="N295" s="8">
        <f>IF(OR(L295="",M295=""), "", L295*M295)</f>
        <v/>
      </c>
      <c r="O295" s="8">
        <f>IF(N295="","", IF(N295&gt;6, "High", IF(N295&gt;=4, "Medium", "Low")))</f>
        <v/>
      </c>
      <c r="P295" s="6" t="n"/>
      <c r="Q295" s="5" t="n"/>
      <c r="R295" s="5" t="n"/>
      <c r="S295" s="5" t="n"/>
      <c r="T295" s="6" t="n"/>
      <c r="U295" s="6" t="n"/>
      <c r="V295" s="6" t="n"/>
      <c r="W295" s="6" t="n"/>
      <c r="X295" s="6" t="n"/>
      <c r="Y295" s="6" t="n"/>
    </row>
    <row r="296" ht="22" customHeight="1">
      <c r="A296" s="5" t="n"/>
      <c r="B296" s="6" t="n"/>
      <c r="C296" s="5" t="n"/>
      <c r="D296" s="5" t="n"/>
      <c r="E296" s="5" t="n"/>
      <c r="F296" s="6" t="n"/>
      <c r="G296" s="6" t="n"/>
      <c r="H296" s="7">
        <f>IF(AND(F296="",G296=""),"", "Risk of """ &amp; F296 &amp; """ because of """ &amp; SUBSTITUTE(G296, ", ", """ and """) &amp; """")</f>
        <v/>
      </c>
      <c r="I296" s="5" t="n"/>
      <c r="J296" s="5" t="n"/>
      <c r="K296" s="5" t="n"/>
      <c r="L296" s="8">
        <f>IF(E296="Confidential", 4, IF(E296="Sensitive", 3, IF(E296="Private", 2, IF(E296="Public", 1, ""))))</f>
        <v/>
      </c>
      <c r="M296" s="5" t="n"/>
      <c r="N296" s="8">
        <f>IF(OR(L296="",M296=""), "", L296*M296)</f>
        <v/>
      </c>
      <c r="O296" s="8">
        <f>IF(N296="","", IF(N296&gt;6, "High", IF(N296&gt;=4, "Medium", "Low")))</f>
        <v/>
      </c>
      <c r="P296" s="6" t="n"/>
      <c r="Q296" s="5" t="n"/>
      <c r="R296" s="5" t="n"/>
      <c r="S296" s="5" t="n"/>
      <c r="T296" s="6" t="n"/>
      <c r="U296" s="6" t="n"/>
      <c r="V296" s="6" t="n"/>
      <c r="W296" s="6" t="n"/>
      <c r="X296" s="6" t="n"/>
      <c r="Y296" s="6" t="n"/>
    </row>
    <row r="297" ht="22" customHeight="1">
      <c r="A297" s="5" t="n"/>
      <c r="B297" s="6" t="n"/>
      <c r="C297" s="5" t="n"/>
      <c r="D297" s="5" t="n"/>
      <c r="E297" s="5" t="n"/>
      <c r="F297" s="6" t="n"/>
      <c r="G297" s="6" t="n"/>
      <c r="H297" s="7">
        <f>IF(AND(F297="",G297=""),"", "Risk of """ &amp; F297 &amp; """ because of """ &amp; SUBSTITUTE(G297, ", ", """ and """) &amp; """")</f>
        <v/>
      </c>
      <c r="I297" s="5" t="n"/>
      <c r="J297" s="5" t="n"/>
      <c r="K297" s="5" t="n"/>
      <c r="L297" s="8">
        <f>IF(E297="Confidential", 4, IF(E297="Sensitive", 3, IF(E297="Private", 2, IF(E297="Public", 1, ""))))</f>
        <v/>
      </c>
      <c r="M297" s="5" t="n"/>
      <c r="N297" s="8">
        <f>IF(OR(L297="",M297=""), "", L297*M297)</f>
        <v/>
      </c>
      <c r="O297" s="8">
        <f>IF(N297="","", IF(N297&gt;6, "High", IF(N297&gt;=4, "Medium", "Low")))</f>
        <v/>
      </c>
      <c r="P297" s="6" t="n"/>
      <c r="Q297" s="5" t="n"/>
      <c r="R297" s="5" t="n"/>
      <c r="S297" s="5" t="n"/>
      <c r="T297" s="6" t="n"/>
      <c r="U297" s="6" t="n"/>
      <c r="V297" s="6" t="n"/>
      <c r="W297" s="6" t="n"/>
      <c r="X297" s="6" t="n"/>
      <c r="Y297" s="6" t="n"/>
    </row>
    <row r="298" ht="22" customHeight="1">
      <c r="A298" s="5" t="n"/>
      <c r="B298" s="6" t="n"/>
      <c r="C298" s="5" t="n"/>
      <c r="D298" s="5" t="n"/>
      <c r="E298" s="5" t="n"/>
      <c r="F298" s="6" t="n"/>
      <c r="G298" s="6" t="n"/>
      <c r="H298" s="7">
        <f>IF(AND(F298="",G298=""),"", "Risk of """ &amp; F298 &amp; """ because of """ &amp; SUBSTITUTE(G298, ", ", """ and """) &amp; """")</f>
        <v/>
      </c>
      <c r="I298" s="5" t="n"/>
      <c r="J298" s="5" t="n"/>
      <c r="K298" s="5" t="n"/>
      <c r="L298" s="8">
        <f>IF(E298="Confidential", 4, IF(E298="Sensitive", 3, IF(E298="Private", 2, IF(E298="Public", 1, ""))))</f>
        <v/>
      </c>
      <c r="M298" s="5" t="n"/>
      <c r="N298" s="8">
        <f>IF(OR(L298="",M298=""), "", L298*M298)</f>
        <v/>
      </c>
      <c r="O298" s="8">
        <f>IF(N298="","", IF(N298&gt;6, "High", IF(N298&gt;=4, "Medium", "Low")))</f>
        <v/>
      </c>
      <c r="P298" s="6" t="n"/>
      <c r="Q298" s="5" t="n"/>
      <c r="R298" s="5" t="n"/>
      <c r="S298" s="5" t="n"/>
      <c r="T298" s="6" t="n"/>
      <c r="U298" s="6" t="n"/>
      <c r="V298" s="6" t="n"/>
      <c r="W298" s="6" t="n"/>
      <c r="X298" s="6" t="n"/>
      <c r="Y298" s="6" t="n"/>
    </row>
    <row r="299" ht="22" customHeight="1">
      <c r="A299" s="5" t="n"/>
      <c r="B299" s="6" t="n"/>
      <c r="C299" s="5" t="n"/>
      <c r="D299" s="5" t="n"/>
      <c r="E299" s="5" t="n"/>
      <c r="F299" s="6" t="n"/>
      <c r="G299" s="6" t="n"/>
      <c r="H299" s="7">
        <f>IF(AND(F299="",G299=""),"", "Risk of """ &amp; F299 &amp; """ because of """ &amp; SUBSTITUTE(G299, ", ", """ and """) &amp; """")</f>
        <v/>
      </c>
      <c r="I299" s="5" t="n"/>
      <c r="J299" s="5" t="n"/>
      <c r="K299" s="5" t="n"/>
      <c r="L299" s="8">
        <f>IF(E299="Confidential", 4, IF(E299="Sensitive", 3, IF(E299="Private", 2, IF(E299="Public", 1, ""))))</f>
        <v/>
      </c>
      <c r="M299" s="5" t="n"/>
      <c r="N299" s="8">
        <f>IF(OR(L299="",M299=""), "", L299*M299)</f>
        <v/>
      </c>
      <c r="O299" s="8">
        <f>IF(N299="","", IF(N299&gt;6, "High", IF(N299&gt;=4, "Medium", "Low")))</f>
        <v/>
      </c>
      <c r="P299" s="6" t="n"/>
      <c r="Q299" s="5" t="n"/>
      <c r="R299" s="5" t="n"/>
      <c r="S299" s="5" t="n"/>
      <c r="T299" s="6" t="n"/>
      <c r="U299" s="6" t="n"/>
      <c r="V299" s="6" t="n"/>
      <c r="W299" s="6" t="n"/>
      <c r="X299" s="6" t="n"/>
      <c r="Y299" s="6" t="n"/>
    </row>
    <row r="300" ht="22" customHeight="1">
      <c r="A300" s="5" t="n"/>
      <c r="B300" s="6" t="n"/>
      <c r="C300" s="5" t="n"/>
      <c r="D300" s="5" t="n"/>
      <c r="E300" s="5" t="n"/>
      <c r="F300" s="6" t="n"/>
      <c r="G300" s="6" t="n"/>
      <c r="H300" s="7">
        <f>IF(AND(F300="",G300=""),"", "Risk of """ &amp; F300 &amp; """ because of """ &amp; SUBSTITUTE(G300, ", ", """ and """) &amp; """")</f>
        <v/>
      </c>
      <c r="I300" s="5" t="n"/>
      <c r="J300" s="5" t="n"/>
      <c r="K300" s="5" t="n"/>
      <c r="L300" s="8">
        <f>IF(E300="Confidential", 4, IF(E300="Sensitive", 3, IF(E300="Private", 2, IF(E300="Public", 1, ""))))</f>
        <v/>
      </c>
      <c r="M300" s="5" t="n"/>
      <c r="N300" s="8">
        <f>IF(OR(L300="",M300=""), "", L300*M300)</f>
        <v/>
      </c>
      <c r="O300" s="8">
        <f>IF(N300="","", IF(N300&gt;6, "High", IF(N300&gt;=4, "Medium", "Low")))</f>
        <v/>
      </c>
      <c r="P300" s="6" t="n"/>
      <c r="Q300" s="5" t="n"/>
      <c r="R300" s="5" t="n"/>
      <c r="S300" s="5" t="n"/>
      <c r="T300" s="6" t="n"/>
      <c r="U300" s="6" t="n"/>
      <c r="V300" s="6" t="n"/>
      <c r="W300" s="6" t="n"/>
      <c r="X300" s="6" t="n"/>
      <c r="Y300" s="6" t="n"/>
    </row>
    <row r="301" ht="22" customHeight="1">
      <c r="A301" s="5" t="n"/>
      <c r="B301" s="6" t="n"/>
      <c r="C301" s="5" t="n"/>
      <c r="D301" s="5" t="n"/>
      <c r="E301" s="5" t="n"/>
      <c r="F301" s="6" t="n"/>
      <c r="G301" s="6" t="n"/>
      <c r="H301" s="7">
        <f>IF(AND(F301="",G301=""),"", "Risk of """ &amp; F301 &amp; """ because of """ &amp; SUBSTITUTE(G301, ", ", """ and """) &amp; """")</f>
        <v/>
      </c>
      <c r="I301" s="5" t="n"/>
      <c r="J301" s="5" t="n"/>
      <c r="K301" s="5" t="n"/>
      <c r="L301" s="8">
        <f>IF(E301="Confidential", 4, IF(E301="Sensitive", 3, IF(E301="Private", 2, IF(E301="Public", 1, ""))))</f>
        <v/>
      </c>
      <c r="M301" s="5" t="n"/>
      <c r="N301" s="8">
        <f>IF(OR(L301="",M301=""), "", L301*M301)</f>
        <v/>
      </c>
      <c r="O301" s="8">
        <f>IF(N301="","", IF(N301&gt;6, "High", IF(N301&gt;=4, "Medium", "Low")))</f>
        <v/>
      </c>
      <c r="P301" s="6" t="n"/>
      <c r="Q301" s="5" t="n"/>
      <c r="R301" s="5" t="n"/>
      <c r="S301" s="5" t="n"/>
      <c r="T301" s="6" t="n"/>
      <c r="U301" s="6" t="n"/>
      <c r="V301" s="6" t="n"/>
      <c r="W301" s="6" t="n"/>
      <c r="X301" s="6" t="n"/>
      <c r="Y301" s="6" t="n"/>
    </row>
    <row r="302" ht="22" customHeight="1">
      <c r="A302" s="5" t="n"/>
      <c r="B302" s="6" t="n"/>
      <c r="C302" s="5" t="n"/>
      <c r="D302" s="5" t="n"/>
      <c r="E302" s="5" t="n"/>
      <c r="F302" s="6" t="n"/>
      <c r="G302" s="6" t="n"/>
      <c r="H302" s="7">
        <f>IF(AND(F302="",G302=""),"", "Risk of """ &amp; F302 &amp; """ because of """ &amp; SUBSTITUTE(G302, ", ", """ and """) &amp; """")</f>
        <v/>
      </c>
      <c r="I302" s="5" t="n"/>
      <c r="J302" s="5" t="n"/>
      <c r="K302" s="5" t="n"/>
      <c r="L302" s="8">
        <f>IF(E302="Confidential", 4, IF(E302="Sensitive", 3, IF(E302="Private", 2, IF(E302="Public", 1, ""))))</f>
        <v/>
      </c>
      <c r="M302" s="5" t="n"/>
      <c r="N302" s="8">
        <f>IF(OR(L302="",M302=""), "", L302*M302)</f>
        <v/>
      </c>
      <c r="O302" s="8">
        <f>IF(N302="","", IF(N302&gt;6, "High", IF(N302&gt;=4, "Medium", "Low")))</f>
        <v/>
      </c>
      <c r="P302" s="6" t="n"/>
      <c r="Q302" s="5" t="n"/>
      <c r="R302" s="5" t="n"/>
      <c r="S302" s="5" t="n"/>
      <c r="T302" s="6" t="n"/>
      <c r="U302" s="6" t="n"/>
      <c r="V302" s="6" t="n"/>
      <c r="W302" s="6" t="n"/>
      <c r="X302" s="6" t="n"/>
      <c r="Y302" s="6" t="n"/>
    </row>
    <row r="303" ht="22" customHeight="1">
      <c r="A303" s="5" t="n"/>
      <c r="B303" s="6" t="n"/>
      <c r="C303" s="5" t="n"/>
      <c r="D303" s="5" t="n"/>
      <c r="E303" s="5" t="n"/>
      <c r="F303" s="6" t="n"/>
      <c r="G303" s="6" t="n"/>
      <c r="H303" s="7">
        <f>IF(AND(F303="",G303=""),"", "Risk of """ &amp; F303 &amp; """ because of """ &amp; SUBSTITUTE(G303, ", ", """ and """) &amp; """")</f>
        <v/>
      </c>
      <c r="I303" s="5" t="n"/>
      <c r="J303" s="5" t="n"/>
      <c r="K303" s="5" t="n"/>
      <c r="L303" s="8">
        <f>IF(E303="Confidential", 4, IF(E303="Sensitive", 3, IF(E303="Private", 2, IF(E303="Public", 1, ""))))</f>
        <v/>
      </c>
      <c r="M303" s="5" t="n"/>
      <c r="N303" s="8">
        <f>IF(OR(L303="",M303=""), "", L303*M303)</f>
        <v/>
      </c>
      <c r="O303" s="8">
        <f>IF(N303="","", IF(N303&gt;6, "High", IF(N303&gt;=4, "Medium", "Low")))</f>
        <v/>
      </c>
      <c r="P303" s="6" t="n"/>
      <c r="Q303" s="5" t="n"/>
      <c r="R303" s="5" t="n"/>
      <c r="S303" s="5" t="n"/>
      <c r="T303" s="6" t="n"/>
      <c r="U303" s="6" t="n"/>
      <c r="V303" s="6" t="n"/>
      <c r="W303" s="6" t="n"/>
      <c r="X303" s="6" t="n"/>
      <c r="Y303" s="6" t="n"/>
    </row>
    <row r="304" ht="22" customHeight="1">
      <c r="A304" s="5" t="n"/>
      <c r="B304" s="6" t="n"/>
      <c r="C304" s="5" t="n"/>
      <c r="D304" s="5" t="n"/>
      <c r="E304" s="5" t="n"/>
      <c r="F304" s="6" t="n"/>
      <c r="G304" s="6" t="n"/>
      <c r="H304" s="7">
        <f>IF(AND(F304="",G304=""),"", "Risk of """ &amp; F304 &amp; """ because of """ &amp; SUBSTITUTE(G304, ", ", """ and """) &amp; """")</f>
        <v/>
      </c>
      <c r="I304" s="5" t="n"/>
      <c r="J304" s="5" t="n"/>
      <c r="K304" s="5" t="n"/>
      <c r="L304" s="8">
        <f>IF(E304="Confidential", 4, IF(E304="Sensitive", 3, IF(E304="Private", 2, IF(E304="Public", 1, ""))))</f>
        <v/>
      </c>
      <c r="M304" s="5" t="n"/>
      <c r="N304" s="8">
        <f>IF(OR(L304="",M304=""), "", L304*M304)</f>
        <v/>
      </c>
      <c r="O304" s="8">
        <f>IF(N304="","", IF(N304&gt;6, "High", IF(N304&gt;=4, "Medium", "Low")))</f>
        <v/>
      </c>
      <c r="P304" s="6" t="n"/>
      <c r="Q304" s="5" t="n"/>
      <c r="R304" s="5" t="n"/>
      <c r="S304" s="5" t="n"/>
      <c r="T304" s="6" t="n"/>
      <c r="U304" s="6" t="n"/>
      <c r="V304" s="6" t="n"/>
      <c r="W304" s="6" t="n"/>
      <c r="X304" s="6" t="n"/>
      <c r="Y304" s="6" t="n"/>
    </row>
    <row r="305" ht="22" customHeight="1">
      <c r="A305" s="5" t="n"/>
      <c r="B305" s="6" t="n"/>
      <c r="C305" s="5" t="n"/>
      <c r="D305" s="5" t="n"/>
      <c r="E305" s="5" t="n"/>
      <c r="F305" s="6" t="n"/>
      <c r="G305" s="6" t="n"/>
      <c r="H305" s="7">
        <f>IF(AND(F305="",G305=""),"", "Risk of """ &amp; F305 &amp; """ because of """ &amp; SUBSTITUTE(G305, ", ", """ and """) &amp; """")</f>
        <v/>
      </c>
      <c r="I305" s="5" t="n"/>
      <c r="J305" s="5" t="n"/>
      <c r="K305" s="5" t="n"/>
      <c r="L305" s="8">
        <f>IF(E305="Confidential", 4, IF(E305="Sensitive", 3, IF(E305="Private", 2, IF(E305="Public", 1, ""))))</f>
        <v/>
      </c>
      <c r="M305" s="5" t="n"/>
      <c r="N305" s="8">
        <f>IF(OR(L305="",M305=""), "", L305*M305)</f>
        <v/>
      </c>
      <c r="O305" s="8">
        <f>IF(N305="","", IF(N305&gt;6, "High", IF(N305&gt;=4, "Medium", "Low")))</f>
        <v/>
      </c>
      <c r="P305" s="6" t="n"/>
      <c r="Q305" s="5" t="n"/>
      <c r="R305" s="5" t="n"/>
      <c r="S305" s="5" t="n"/>
      <c r="T305" s="6" t="n"/>
      <c r="U305" s="6" t="n"/>
      <c r="V305" s="6" t="n"/>
      <c r="W305" s="6" t="n"/>
      <c r="X305" s="6" t="n"/>
      <c r="Y305" s="6" t="n"/>
    </row>
    <row r="306" ht="22" customHeight="1">
      <c r="A306" s="5" t="n"/>
      <c r="B306" s="6" t="n"/>
      <c r="C306" s="5" t="n"/>
      <c r="D306" s="5" t="n"/>
      <c r="E306" s="5" t="n"/>
      <c r="F306" s="6" t="n"/>
      <c r="G306" s="6" t="n"/>
      <c r="H306" s="7">
        <f>IF(AND(F306="",G306=""),"", "Risk of """ &amp; F306 &amp; """ because of """ &amp; SUBSTITUTE(G306, ", ", """ and """) &amp; """")</f>
        <v/>
      </c>
      <c r="I306" s="5" t="n"/>
      <c r="J306" s="5" t="n"/>
      <c r="K306" s="5" t="n"/>
      <c r="L306" s="8">
        <f>IF(E306="Confidential", 4, IF(E306="Sensitive", 3, IF(E306="Private", 2, IF(E306="Public", 1, ""))))</f>
        <v/>
      </c>
      <c r="M306" s="5" t="n"/>
      <c r="N306" s="8">
        <f>IF(OR(L306="",M306=""), "", L306*M306)</f>
        <v/>
      </c>
      <c r="O306" s="8">
        <f>IF(N306="","", IF(N306&gt;6, "High", IF(N306&gt;=4, "Medium", "Low")))</f>
        <v/>
      </c>
      <c r="P306" s="6" t="n"/>
      <c r="Q306" s="5" t="n"/>
      <c r="R306" s="5" t="n"/>
      <c r="S306" s="5" t="n"/>
      <c r="T306" s="6" t="n"/>
      <c r="U306" s="6" t="n"/>
      <c r="V306" s="6" t="n"/>
      <c r="W306" s="6" t="n"/>
      <c r="X306" s="6" t="n"/>
      <c r="Y306" s="6" t="n"/>
    </row>
    <row r="307" ht="22" customHeight="1">
      <c r="A307" s="5" t="n"/>
      <c r="B307" s="6" t="n"/>
      <c r="C307" s="5" t="n"/>
      <c r="D307" s="5" t="n"/>
      <c r="E307" s="5" t="n"/>
      <c r="F307" s="6" t="n"/>
      <c r="G307" s="6" t="n"/>
      <c r="H307" s="7">
        <f>IF(AND(F307="",G307=""),"", "Risk of """ &amp; F307 &amp; """ because of """ &amp; SUBSTITUTE(G307, ", ", """ and """) &amp; """")</f>
        <v/>
      </c>
      <c r="I307" s="5" t="n"/>
      <c r="J307" s="5" t="n"/>
      <c r="K307" s="5" t="n"/>
      <c r="L307" s="8">
        <f>IF(E307="Confidential", 4, IF(E307="Sensitive", 3, IF(E307="Private", 2, IF(E307="Public", 1, ""))))</f>
        <v/>
      </c>
      <c r="M307" s="5" t="n"/>
      <c r="N307" s="8">
        <f>IF(OR(L307="",M307=""), "", L307*M307)</f>
        <v/>
      </c>
      <c r="O307" s="8">
        <f>IF(N307="","", IF(N307&gt;6, "High", IF(N307&gt;=4, "Medium", "Low")))</f>
        <v/>
      </c>
      <c r="P307" s="6" t="n"/>
      <c r="Q307" s="5" t="n"/>
      <c r="R307" s="5" t="n"/>
      <c r="S307" s="5" t="n"/>
      <c r="T307" s="6" t="n"/>
      <c r="U307" s="6" t="n"/>
      <c r="V307" s="6" t="n"/>
      <c r="W307" s="6" t="n"/>
      <c r="X307" s="6" t="n"/>
      <c r="Y307" s="6" t="n"/>
    </row>
    <row r="308" ht="22" customHeight="1">
      <c r="A308" s="5" t="n"/>
      <c r="B308" s="6" t="n"/>
      <c r="C308" s="5" t="n"/>
      <c r="D308" s="5" t="n"/>
      <c r="E308" s="5" t="n"/>
      <c r="F308" s="6" t="n"/>
      <c r="G308" s="6" t="n"/>
      <c r="H308" s="7">
        <f>IF(AND(F308="",G308=""),"", "Risk of """ &amp; F308 &amp; """ because of """ &amp; SUBSTITUTE(G308, ", ", """ and """) &amp; """")</f>
        <v/>
      </c>
      <c r="I308" s="5" t="n"/>
      <c r="J308" s="5" t="n"/>
      <c r="K308" s="5" t="n"/>
      <c r="L308" s="8">
        <f>IF(E308="Confidential", 4, IF(E308="Sensitive", 3, IF(E308="Private", 2, IF(E308="Public", 1, ""))))</f>
        <v/>
      </c>
      <c r="M308" s="5" t="n"/>
      <c r="N308" s="8">
        <f>IF(OR(L308="",M308=""), "", L308*M308)</f>
        <v/>
      </c>
      <c r="O308" s="8">
        <f>IF(N308="","", IF(N308&gt;6, "High", IF(N308&gt;=4, "Medium", "Low")))</f>
        <v/>
      </c>
      <c r="P308" s="6" t="n"/>
      <c r="Q308" s="5" t="n"/>
      <c r="R308" s="5" t="n"/>
      <c r="S308" s="5" t="n"/>
      <c r="T308" s="6" t="n"/>
      <c r="U308" s="6" t="n"/>
      <c r="V308" s="6" t="n"/>
      <c r="W308" s="6" t="n"/>
      <c r="X308" s="6" t="n"/>
      <c r="Y308" s="6" t="n"/>
    </row>
    <row r="309" ht="22" customHeight="1">
      <c r="A309" s="5" t="n"/>
      <c r="B309" s="6" t="n"/>
      <c r="C309" s="5" t="n"/>
      <c r="D309" s="5" t="n"/>
      <c r="E309" s="5" t="n"/>
      <c r="F309" s="6" t="n"/>
      <c r="G309" s="6" t="n"/>
      <c r="H309" s="7">
        <f>IF(AND(F309="",G309=""),"", "Risk of """ &amp; F309 &amp; """ because of """ &amp; SUBSTITUTE(G309, ", ", """ and """) &amp; """")</f>
        <v/>
      </c>
      <c r="I309" s="5" t="n"/>
      <c r="J309" s="5" t="n"/>
      <c r="K309" s="5" t="n"/>
      <c r="L309" s="8">
        <f>IF(E309="Confidential", 4, IF(E309="Sensitive", 3, IF(E309="Private", 2, IF(E309="Public", 1, ""))))</f>
        <v/>
      </c>
      <c r="M309" s="5" t="n"/>
      <c r="N309" s="8">
        <f>IF(OR(L309="",M309=""), "", L309*M309)</f>
        <v/>
      </c>
      <c r="O309" s="8">
        <f>IF(N309="","", IF(N309&gt;6, "High", IF(N309&gt;=4, "Medium", "Low")))</f>
        <v/>
      </c>
      <c r="P309" s="6" t="n"/>
      <c r="Q309" s="5" t="n"/>
      <c r="R309" s="5" t="n"/>
      <c r="S309" s="5" t="n"/>
      <c r="T309" s="6" t="n"/>
      <c r="U309" s="6" t="n"/>
      <c r="V309" s="6" t="n"/>
      <c r="W309" s="6" t="n"/>
      <c r="X309" s="6" t="n"/>
      <c r="Y309" s="6" t="n"/>
    </row>
    <row r="310" ht="22" customHeight="1">
      <c r="A310" s="5" t="n"/>
      <c r="B310" s="6" t="n"/>
      <c r="C310" s="5" t="n"/>
      <c r="D310" s="5" t="n"/>
      <c r="E310" s="5" t="n"/>
      <c r="F310" s="6" t="n"/>
      <c r="G310" s="6" t="n"/>
      <c r="H310" s="7">
        <f>IF(AND(F310="",G310=""),"", "Risk of """ &amp; F310 &amp; """ because of """ &amp; SUBSTITUTE(G310, ", ", """ and """) &amp; """")</f>
        <v/>
      </c>
      <c r="I310" s="5" t="n"/>
      <c r="J310" s="5" t="n"/>
      <c r="K310" s="5" t="n"/>
      <c r="L310" s="8">
        <f>IF(E310="Confidential", 4, IF(E310="Sensitive", 3, IF(E310="Private", 2, IF(E310="Public", 1, ""))))</f>
        <v/>
      </c>
      <c r="M310" s="5" t="n"/>
      <c r="N310" s="8">
        <f>IF(OR(L310="",M310=""), "", L310*M310)</f>
        <v/>
      </c>
      <c r="O310" s="8">
        <f>IF(N310="","", IF(N310&gt;6, "High", IF(N310&gt;=4, "Medium", "Low")))</f>
        <v/>
      </c>
      <c r="P310" s="6" t="n"/>
      <c r="Q310" s="5" t="n"/>
      <c r="R310" s="5" t="n"/>
      <c r="S310" s="5" t="n"/>
      <c r="T310" s="6" t="n"/>
      <c r="U310" s="6" t="n"/>
      <c r="V310" s="6" t="n"/>
      <c r="W310" s="6" t="n"/>
      <c r="X310" s="6" t="n"/>
      <c r="Y310" s="6" t="n"/>
    </row>
    <row r="311" ht="22" customHeight="1">
      <c r="A311" s="5" t="n"/>
      <c r="B311" s="6" t="n"/>
      <c r="C311" s="5" t="n"/>
      <c r="D311" s="5" t="n"/>
      <c r="E311" s="5" t="n"/>
      <c r="F311" s="6" t="n"/>
      <c r="G311" s="6" t="n"/>
      <c r="H311" s="7">
        <f>IF(AND(F311="",G311=""),"", "Risk of """ &amp; F311 &amp; """ because of """ &amp; SUBSTITUTE(G311, ", ", """ and """) &amp; """")</f>
        <v/>
      </c>
      <c r="I311" s="5" t="n"/>
      <c r="J311" s="5" t="n"/>
      <c r="K311" s="5" t="n"/>
      <c r="L311" s="8">
        <f>IF(E311="Confidential", 4, IF(E311="Sensitive", 3, IF(E311="Private", 2, IF(E311="Public", 1, ""))))</f>
        <v/>
      </c>
      <c r="M311" s="5" t="n"/>
      <c r="N311" s="8">
        <f>IF(OR(L311="",M311=""), "", L311*M311)</f>
        <v/>
      </c>
      <c r="O311" s="8">
        <f>IF(N311="","", IF(N311&gt;6, "High", IF(N311&gt;=4, "Medium", "Low")))</f>
        <v/>
      </c>
      <c r="P311" s="6" t="n"/>
      <c r="Q311" s="5" t="n"/>
      <c r="R311" s="5" t="n"/>
      <c r="S311" s="5" t="n"/>
      <c r="T311" s="6" t="n"/>
      <c r="U311" s="6" t="n"/>
      <c r="V311" s="6" t="n"/>
      <c r="W311" s="6" t="n"/>
      <c r="X311" s="6" t="n"/>
      <c r="Y311" s="6" t="n"/>
    </row>
    <row r="312" ht="22" customHeight="1">
      <c r="A312" s="5" t="n"/>
      <c r="B312" s="6" t="n"/>
      <c r="C312" s="5" t="n"/>
      <c r="D312" s="5" t="n"/>
      <c r="E312" s="5" t="n"/>
      <c r="F312" s="6" t="n"/>
      <c r="G312" s="6" t="n"/>
      <c r="H312" s="7">
        <f>IF(AND(F312="",G312=""),"", "Risk of """ &amp; F312 &amp; """ because of """ &amp; SUBSTITUTE(G312, ", ", """ and """) &amp; """")</f>
        <v/>
      </c>
      <c r="I312" s="5" t="n"/>
      <c r="J312" s="5" t="n"/>
      <c r="K312" s="5" t="n"/>
      <c r="L312" s="8">
        <f>IF(E312="Confidential", 4, IF(E312="Sensitive", 3, IF(E312="Private", 2, IF(E312="Public", 1, ""))))</f>
        <v/>
      </c>
      <c r="M312" s="5" t="n"/>
      <c r="N312" s="8">
        <f>IF(OR(L312="",M312=""), "", L312*M312)</f>
        <v/>
      </c>
      <c r="O312" s="8">
        <f>IF(N312="","", IF(N312&gt;6, "High", IF(N312&gt;=4, "Medium", "Low")))</f>
        <v/>
      </c>
      <c r="P312" s="6" t="n"/>
      <c r="Q312" s="5" t="n"/>
      <c r="R312" s="5" t="n"/>
      <c r="S312" s="5" t="n"/>
      <c r="T312" s="6" t="n"/>
      <c r="U312" s="6" t="n"/>
      <c r="V312" s="6" t="n"/>
      <c r="W312" s="6" t="n"/>
      <c r="X312" s="6" t="n"/>
      <c r="Y312" s="6" t="n"/>
    </row>
    <row r="313" ht="22" customHeight="1">
      <c r="A313" s="5" t="n"/>
      <c r="B313" s="6" t="n"/>
      <c r="C313" s="5" t="n"/>
      <c r="D313" s="5" t="n"/>
      <c r="E313" s="5" t="n"/>
      <c r="F313" s="6" t="n"/>
      <c r="G313" s="6" t="n"/>
      <c r="H313" s="7">
        <f>IF(AND(F313="",G313=""),"", "Risk of """ &amp; F313 &amp; """ because of """ &amp; SUBSTITUTE(G313, ", ", """ and """) &amp; """")</f>
        <v/>
      </c>
      <c r="I313" s="5" t="n"/>
      <c r="J313" s="5" t="n"/>
      <c r="K313" s="5" t="n"/>
      <c r="L313" s="8">
        <f>IF(E313="Confidential", 4, IF(E313="Sensitive", 3, IF(E313="Private", 2, IF(E313="Public", 1, ""))))</f>
        <v/>
      </c>
      <c r="M313" s="5" t="n"/>
      <c r="N313" s="8">
        <f>IF(OR(L313="",M313=""), "", L313*M313)</f>
        <v/>
      </c>
      <c r="O313" s="8">
        <f>IF(N313="","", IF(N313&gt;6, "High", IF(N313&gt;=4, "Medium", "Low")))</f>
        <v/>
      </c>
      <c r="P313" s="6" t="n"/>
      <c r="Q313" s="5" t="n"/>
      <c r="R313" s="5" t="n"/>
      <c r="S313" s="5" t="n"/>
      <c r="T313" s="6" t="n"/>
      <c r="U313" s="6" t="n"/>
      <c r="V313" s="6" t="n"/>
      <c r="W313" s="6" t="n"/>
      <c r="X313" s="6" t="n"/>
      <c r="Y313" s="6" t="n"/>
    </row>
    <row r="314" ht="22" customHeight="1">
      <c r="A314" s="5" t="n"/>
      <c r="B314" s="6" t="n"/>
      <c r="C314" s="5" t="n"/>
      <c r="D314" s="5" t="n"/>
      <c r="E314" s="5" t="n"/>
      <c r="F314" s="6" t="n"/>
      <c r="G314" s="6" t="n"/>
      <c r="H314" s="7">
        <f>IF(AND(F314="",G314=""),"", "Risk of """ &amp; F314 &amp; """ because of """ &amp; SUBSTITUTE(G314, ", ", """ and """) &amp; """")</f>
        <v/>
      </c>
      <c r="I314" s="5" t="n"/>
      <c r="J314" s="5" t="n"/>
      <c r="K314" s="5" t="n"/>
      <c r="L314" s="8">
        <f>IF(E314="Confidential", 4, IF(E314="Sensitive", 3, IF(E314="Private", 2, IF(E314="Public", 1, ""))))</f>
        <v/>
      </c>
      <c r="M314" s="5" t="n"/>
      <c r="N314" s="8">
        <f>IF(OR(L314="",M314=""), "", L314*M314)</f>
        <v/>
      </c>
      <c r="O314" s="8">
        <f>IF(N314="","", IF(N314&gt;6, "High", IF(N314&gt;=4, "Medium", "Low")))</f>
        <v/>
      </c>
      <c r="P314" s="6" t="n"/>
      <c r="Q314" s="5" t="n"/>
      <c r="R314" s="5" t="n"/>
      <c r="S314" s="5" t="n"/>
      <c r="T314" s="6" t="n"/>
      <c r="U314" s="6" t="n"/>
      <c r="V314" s="6" t="n"/>
      <c r="W314" s="6" t="n"/>
      <c r="X314" s="6" t="n"/>
      <c r="Y314" s="6" t="n"/>
    </row>
    <row r="315" ht="22" customHeight="1">
      <c r="A315" s="5" t="n"/>
      <c r="B315" s="6" t="n"/>
      <c r="C315" s="5" t="n"/>
      <c r="D315" s="5" t="n"/>
      <c r="E315" s="5" t="n"/>
      <c r="F315" s="6" t="n"/>
      <c r="G315" s="6" t="n"/>
      <c r="H315" s="7">
        <f>IF(AND(F315="",G315=""),"", "Risk of """ &amp; F315 &amp; """ because of """ &amp; SUBSTITUTE(G315, ", ", """ and """) &amp; """")</f>
        <v/>
      </c>
      <c r="I315" s="5" t="n"/>
      <c r="J315" s="5" t="n"/>
      <c r="K315" s="5" t="n"/>
      <c r="L315" s="8">
        <f>IF(E315="Confidential", 4, IF(E315="Sensitive", 3, IF(E315="Private", 2, IF(E315="Public", 1, ""))))</f>
        <v/>
      </c>
      <c r="M315" s="5" t="n"/>
      <c r="N315" s="8">
        <f>IF(OR(L315="",M315=""), "", L315*M315)</f>
        <v/>
      </c>
      <c r="O315" s="8">
        <f>IF(N315="","", IF(N315&gt;6, "High", IF(N315&gt;=4, "Medium", "Low")))</f>
        <v/>
      </c>
      <c r="P315" s="6" t="n"/>
      <c r="Q315" s="5" t="n"/>
      <c r="R315" s="5" t="n"/>
      <c r="S315" s="5" t="n"/>
      <c r="T315" s="6" t="n"/>
      <c r="U315" s="6" t="n"/>
      <c r="V315" s="6" t="n"/>
      <c r="W315" s="6" t="n"/>
      <c r="X315" s="6" t="n"/>
      <c r="Y315" s="6" t="n"/>
    </row>
    <row r="316" ht="22" customHeight="1">
      <c r="A316" s="5" t="n"/>
      <c r="B316" s="6" t="n"/>
      <c r="C316" s="5" t="n"/>
      <c r="D316" s="5" t="n"/>
      <c r="E316" s="5" t="n"/>
      <c r="F316" s="6" t="n"/>
      <c r="G316" s="6" t="n"/>
      <c r="H316" s="7">
        <f>IF(AND(F316="",G316=""),"", "Risk of """ &amp; F316 &amp; """ because of """ &amp; SUBSTITUTE(G316, ", ", """ and """) &amp; """")</f>
        <v/>
      </c>
      <c r="I316" s="5" t="n"/>
      <c r="J316" s="5" t="n"/>
      <c r="K316" s="5" t="n"/>
      <c r="L316" s="8">
        <f>IF(E316="Confidential", 4, IF(E316="Sensitive", 3, IF(E316="Private", 2, IF(E316="Public", 1, ""))))</f>
        <v/>
      </c>
      <c r="M316" s="5" t="n"/>
      <c r="N316" s="8">
        <f>IF(OR(L316="",M316=""), "", L316*M316)</f>
        <v/>
      </c>
      <c r="O316" s="8">
        <f>IF(N316="","", IF(N316&gt;6, "High", IF(N316&gt;=4, "Medium", "Low")))</f>
        <v/>
      </c>
      <c r="P316" s="6" t="n"/>
      <c r="Q316" s="5" t="n"/>
      <c r="R316" s="5" t="n"/>
      <c r="S316" s="5" t="n"/>
      <c r="T316" s="6" t="n"/>
      <c r="U316" s="6" t="n"/>
      <c r="V316" s="6" t="n"/>
      <c r="W316" s="6" t="n"/>
      <c r="X316" s="6" t="n"/>
      <c r="Y316" s="6" t="n"/>
    </row>
    <row r="317" ht="22" customHeight="1">
      <c r="A317" s="5" t="n"/>
      <c r="B317" s="6" t="n"/>
      <c r="C317" s="5" t="n"/>
      <c r="D317" s="5" t="n"/>
      <c r="E317" s="5" t="n"/>
      <c r="F317" s="6" t="n"/>
      <c r="G317" s="6" t="n"/>
      <c r="H317" s="7">
        <f>IF(AND(F317="",G317=""),"", "Risk of """ &amp; F317 &amp; """ because of """ &amp; SUBSTITUTE(G317, ", ", """ and """) &amp; """")</f>
        <v/>
      </c>
      <c r="I317" s="5" t="n"/>
      <c r="J317" s="5" t="n"/>
      <c r="K317" s="5" t="n"/>
      <c r="L317" s="8">
        <f>IF(E317="Confidential", 4, IF(E317="Sensitive", 3, IF(E317="Private", 2, IF(E317="Public", 1, ""))))</f>
        <v/>
      </c>
      <c r="M317" s="5" t="n"/>
      <c r="N317" s="8">
        <f>IF(OR(L317="",M317=""), "", L317*M317)</f>
        <v/>
      </c>
      <c r="O317" s="8">
        <f>IF(N317="","", IF(N317&gt;6, "High", IF(N317&gt;=4, "Medium", "Low")))</f>
        <v/>
      </c>
      <c r="P317" s="6" t="n"/>
      <c r="Q317" s="5" t="n"/>
      <c r="R317" s="5" t="n"/>
      <c r="S317" s="5" t="n"/>
      <c r="T317" s="6" t="n"/>
      <c r="U317" s="6" t="n"/>
      <c r="V317" s="6" t="n"/>
      <c r="W317" s="6" t="n"/>
      <c r="X317" s="6" t="n"/>
      <c r="Y317" s="6" t="n"/>
    </row>
    <row r="318" ht="22" customHeight="1">
      <c r="A318" s="5" t="n"/>
      <c r="B318" s="6" t="n"/>
      <c r="C318" s="5" t="n"/>
      <c r="D318" s="5" t="n"/>
      <c r="E318" s="5" t="n"/>
      <c r="F318" s="6" t="n"/>
      <c r="G318" s="6" t="n"/>
      <c r="H318" s="7">
        <f>IF(AND(F318="",G318=""),"", "Risk of """ &amp; F318 &amp; """ because of """ &amp; SUBSTITUTE(G318, ", ", """ and """) &amp; """")</f>
        <v/>
      </c>
      <c r="I318" s="5" t="n"/>
      <c r="J318" s="5" t="n"/>
      <c r="K318" s="5" t="n"/>
      <c r="L318" s="8">
        <f>IF(E318="Confidential", 4, IF(E318="Sensitive", 3, IF(E318="Private", 2, IF(E318="Public", 1, ""))))</f>
        <v/>
      </c>
      <c r="M318" s="5" t="n"/>
      <c r="N318" s="8">
        <f>IF(OR(L318="",M318=""), "", L318*M318)</f>
        <v/>
      </c>
      <c r="O318" s="8">
        <f>IF(N318="","", IF(N318&gt;6, "High", IF(N318&gt;=4, "Medium", "Low")))</f>
        <v/>
      </c>
      <c r="P318" s="6" t="n"/>
      <c r="Q318" s="5" t="n"/>
      <c r="R318" s="5" t="n"/>
      <c r="S318" s="5" t="n"/>
      <c r="T318" s="6" t="n"/>
      <c r="U318" s="6" t="n"/>
      <c r="V318" s="6" t="n"/>
      <c r="W318" s="6" t="n"/>
      <c r="X318" s="6" t="n"/>
      <c r="Y318" s="6" t="n"/>
    </row>
    <row r="319" ht="22" customHeight="1">
      <c r="A319" s="5" t="n"/>
      <c r="B319" s="6" t="n"/>
      <c r="C319" s="5" t="n"/>
      <c r="D319" s="5" t="n"/>
      <c r="E319" s="5" t="n"/>
      <c r="F319" s="6" t="n"/>
      <c r="G319" s="6" t="n"/>
      <c r="H319" s="7">
        <f>IF(AND(F319="",G319=""),"", "Risk of """ &amp; F319 &amp; """ because of """ &amp; SUBSTITUTE(G319, ", ", """ and """) &amp; """")</f>
        <v/>
      </c>
      <c r="I319" s="5" t="n"/>
      <c r="J319" s="5" t="n"/>
      <c r="K319" s="5" t="n"/>
      <c r="L319" s="8">
        <f>IF(E319="Confidential", 4, IF(E319="Sensitive", 3, IF(E319="Private", 2, IF(E319="Public", 1, ""))))</f>
        <v/>
      </c>
      <c r="M319" s="5" t="n"/>
      <c r="N319" s="8">
        <f>IF(OR(L319="",M319=""), "", L319*M319)</f>
        <v/>
      </c>
      <c r="O319" s="8">
        <f>IF(N319="","", IF(N319&gt;6, "High", IF(N319&gt;=4, "Medium", "Low")))</f>
        <v/>
      </c>
      <c r="P319" s="6" t="n"/>
      <c r="Q319" s="5" t="n"/>
      <c r="R319" s="5" t="n"/>
      <c r="S319" s="5" t="n"/>
      <c r="T319" s="6" t="n"/>
      <c r="U319" s="6" t="n"/>
      <c r="V319" s="6" t="n"/>
      <c r="W319" s="6" t="n"/>
      <c r="X319" s="6" t="n"/>
      <c r="Y319" s="6" t="n"/>
    </row>
    <row r="320" ht="22" customHeight="1">
      <c r="A320" s="5" t="n"/>
      <c r="B320" s="6" t="n"/>
      <c r="C320" s="5" t="n"/>
      <c r="D320" s="5" t="n"/>
      <c r="E320" s="5" t="n"/>
      <c r="F320" s="6" t="n"/>
      <c r="G320" s="6" t="n"/>
      <c r="H320" s="7">
        <f>IF(AND(F320="",G320=""),"", "Risk of """ &amp; F320 &amp; """ because of """ &amp; SUBSTITUTE(G320, ", ", """ and """) &amp; """")</f>
        <v/>
      </c>
      <c r="I320" s="5" t="n"/>
      <c r="J320" s="5" t="n"/>
      <c r="K320" s="5" t="n"/>
      <c r="L320" s="8">
        <f>IF(E320="Confidential", 4, IF(E320="Sensitive", 3, IF(E320="Private", 2, IF(E320="Public", 1, ""))))</f>
        <v/>
      </c>
      <c r="M320" s="5" t="n"/>
      <c r="N320" s="8">
        <f>IF(OR(L320="",M320=""), "", L320*M320)</f>
        <v/>
      </c>
      <c r="O320" s="8">
        <f>IF(N320="","", IF(N320&gt;6, "High", IF(N320&gt;=4, "Medium", "Low")))</f>
        <v/>
      </c>
      <c r="P320" s="6" t="n"/>
      <c r="Q320" s="5" t="n"/>
      <c r="R320" s="5" t="n"/>
      <c r="S320" s="5" t="n"/>
      <c r="T320" s="6" t="n"/>
      <c r="U320" s="6" t="n"/>
      <c r="V320" s="6" t="n"/>
      <c r="W320" s="6" t="n"/>
      <c r="X320" s="6" t="n"/>
      <c r="Y320" s="6" t="n"/>
    </row>
    <row r="321" ht="22" customHeight="1">
      <c r="A321" s="5" t="n"/>
      <c r="B321" s="6" t="n"/>
      <c r="C321" s="5" t="n"/>
      <c r="D321" s="5" t="n"/>
      <c r="E321" s="5" t="n"/>
      <c r="F321" s="6" t="n"/>
      <c r="G321" s="6" t="n"/>
      <c r="H321" s="7">
        <f>IF(AND(F321="",G321=""),"", "Risk of """ &amp; F321 &amp; """ because of """ &amp; SUBSTITUTE(G321, ", ", """ and """) &amp; """")</f>
        <v/>
      </c>
      <c r="I321" s="5" t="n"/>
      <c r="J321" s="5" t="n"/>
      <c r="K321" s="5" t="n"/>
      <c r="L321" s="8">
        <f>IF(E321="Confidential", 4, IF(E321="Sensitive", 3, IF(E321="Private", 2, IF(E321="Public", 1, ""))))</f>
        <v/>
      </c>
      <c r="M321" s="5" t="n"/>
      <c r="N321" s="8">
        <f>IF(OR(L321="",M321=""), "", L321*M321)</f>
        <v/>
      </c>
      <c r="O321" s="8">
        <f>IF(N321="","", IF(N321&gt;6, "High", IF(N321&gt;=4, "Medium", "Low")))</f>
        <v/>
      </c>
      <c r="P321" s="6" t="n"/>
      <c r="Q321" s="5" t="n"/>
      <c r="R321" s="5" t="n"/>
      <c r="S321" s="5" t="n"/>
      <c r="T321" s="6" t="n"/>
      <c r="U321" s="6" t="n"/>
      <c r="V321" s="6" t="n"/>
      <c r="W321" s="6" t="n"/>
      <c r="X321" s="6" t="n"/>
      <c r="Y321" s="6" t="n"/>
    </row>
    <row r="322" ht="22" customHeight="1">
      <c r="A322" s="5" t="n"/>
      <c r="B322" s="6" t="n"/>
      <c r="C322" s="5" t="n"/>
      <c r="D322" s="5" t="n"/>
      <c r="E322" s="5" t="n"/>
      <c r="F322" s="6" t="n"/>
      <c r="G322" s="6" t="n"/>
      <c r="H322" s="7">
        <f>IF(AND(F322="",G322=""),"", "Risk of """ &amp; F322 &amp; """ because of """ &amp; SUBSTITUTE(G322, ", ", """ and """) &amp; """")</f>
        <v/>
      </c>
      <c r="I322" s="5" t="n"/>
      <c r="J322" s="5" t="n"/>
      <c r="K322" s="5" t="n"/>
      <c r="L322" s="8">
        <f>IF(E322="Confidential", 4, IF(E322="Sensitive", 3, IF(E322="Private", 2, IF(E322="Public", 1, ""))))</f>
        <v/>
      </c>
      <c r="M322" s="5" t="n"/>
      <c r="N322" s="8">
        <f>IF(OR(L322="",M322=""), "", L322*M322)</f>
        <v/>
      </c>
      <c r="O322" s="8">
        <f>IF(N322="","", IF(N322&gt;6, "High", IF(N322&gt;=4, "Medium", "Low")))</f>
        <v/>
      </c>
      <c r="P322" s="6" t="n"/>
      <c r="Q322" s="5" t="n"/>
      <c r="R322" s="5" t="n"/>
      <c r="S322" s="5" t="n"/>
      <c r="T322" s="6" t="n"/>
      <c r="U322" s="6" t="n"/>
      <c r="V322" s="6" t="n"/>
      <c r="W322" s="6" t="n"/>
      <c r="X322" s="6" t="n"/>
      <c r="Y322" s="6" t="n"/>
    </row>
    <row r="323" ht="22" customHeight="1">
      <c r="A323" s="5" t="n"/>
      <c r="B323" s="6" t="n"/>
      <c r="C323" s="5" t="n"/>
      <c r="D323" s="5" t="n"/>
      <c r="E323" s="5" t="n"/>
      <c r="F323" s="6" t="n"/>
      <c r="G323" s="6" t="n"/>
      <c r="H323" s="7">
        <f>IF(AND(F323="",G323=""),"", "Risk of """ &amp; F323 &amp; """ because of """ &amp; SUBSTITUTE(G323, ", ", """ and """) &amp; """")</f>
        <v/>
      </c>
      <c r="I323" s="5" t="n"/>
      <c r="J323" s="5" t="n"/>
      <c r="K323" s="5" t="n"/>
      <c r="L323" s="8">
        <f>IF(E323="Confidential", 4, IF(E323="Sensitive", 3, IF(E323="Private", 2, IF(E323="Public", 1, ""))))</f>
        <v/>
      </c>
      <c r="M323" s="5" t="n"/>
      <c r="N323" s="8">
        <f>IF(OR(L323="",M323=""), "", L323*M323)</f>
        <v/>
      </c>
      <c r="O323" s="8">
        <f>IF(N323="","", IF(N323&gt;6, "High", IF(N323&gt;=4, "Medium", "Low")))</f>
        <v/>
      </c>
      <c r="P323" s="6" t="n"/>
      <c r="Q323" s="5" t="n"/>
      <c r="R323" s="5" t="n"/>
      <c r="S323" s="5" t="n"/>
      <c r="T323" s="6" t="n"/>
      <c r="U323" s="6" t="n"/>
      <c r="V323" s="6" t="n"/>
      <c r="W323" s="6" t="n"/>
      <c r="X323" s="6" t="n"/>
      <c r="Y323" s="6" t="n"/>
    </row>
    <row r="324" ht="22" customHeight="1">
      <c r="A324" s="5" t="n"/>
      <c r="B324" s="6" t="n"/>
      <c r="C324" s="5" t="n"/>
      <c r="D324" s="5" t="n"/>
      <c r="E324" s="5" t="n"/>
      <c r="F324" s="6" t="n"/>
      <c r="G324" s="6" t="n"/>
      <c r="H324" s="7">
        <f>IF(AND(F324="",G324=""),"", "Risk of """ &amp; F324 &amp; """ because of """ &amp; SUBSTITUTE(G324, ", ", """ and """) &amp; """")</f>
        <v/>
      </c>
      <c r="I324" s="5" t="n"/>
      <c r="J324" s="5" t="n"/>
      <c r="K324" s="5" t="n"/>
      <c r="L324" s="8">
        <f>IF(E324="Confidential", 4, IF(E324="Sensitive", 3, IF(E324="Private", 2, IF(E324="Public", 1, ""))))</f>
        <v/>
      </c>
      <c r="M324" s="5" t="n"/>
      <c r="N324" s="8">
        <f>IF(OR(L324="",M324=""), "", L324*M324)</f>
        <v/>
      </c>
      <c r="O324" s="8">
        <f>IF(N324="","", IF(N324&gt;6, "High", IF(N324&gt;=4, "Medium", "Low")))</f>
        <v/>
      </c>
      <c r="P324" s="6" t="n"/>
      <c r="Q324" s="5" t="n"/>
      <c r="R324" s="5" t="n"/>
      <c r="S324" s="5" t="n"/>
      <c r="T324" s="6" t="n"/>
      <c r="U324" s="6" t="n"/>
      <c r="V324" s="6" t="n"/>
      <c r="W324" s="6" t="n"/>
      <c r="X324" s="6" t="n"/>
      <c r="Y324" s="6" t="n"/>
    </row>
    <row r="325" ht="22" customHeight="1">
      <c r="A325" s="5" t="n"/>
      <c r="B325" s="6" t="n"/>
      <c r="C325" s="5" t="n"/>
      <c r="D325" s="5" t="n"/>
      <c r="E325" s="5" t="n"/>
      <c r="F325" s="6" t="n"/>
      <c r="G325" s="6" t="n"/>
      <c r="H325" s="7">
        <f>IF(AND(F325="",G325=""),"", "Risk of """ &amp; F325 &amp; """ because of """ &amp; SUBSTITUTE(G325, ", ", """ and """) &amp; """")</f>
        <v/>
      </c>
      <c r="I325" s="5" t="n"/>
      <c r="J325" s="5" t="n"/>
      <c r="K325" s="5" t="n"/>
      <c r="L325" s="8">
        <f>IF(E325="Confidential", 4, IF(E325="Sensitive", 3, IF(E325="Private", 2, IF(E325="Public", 1, ""))))</f>
        <v/>
      </c>
      <c r="M325" s="5" t="n"/>
      <c r="N325" s="8">
        <f>IF(OR(L325="",M325=""), "", L325*M325)</f>
        <v/>
      </c>
      <c r="O325" s="8">
        <f>IF(N325="","", IF(N325&gt;6, "High", IF(N325&gt;=4, "Medium", "Low")))</f>
        <v/>
      </c>
      <c r="P325" s="6" t="n"/>
      <c r="Q325" s="5" t="n"/>
      <c r="R325" s="5" t="n"/>
      <c r="S325" s="5" t="n"/>
      <c r="T325" s="6" t="n"/>
      <c r="U325" s="6" t="n"/>
      <c r="V325" s="6" t="n"/>
      <c r="W325" s="6" t="n"/>
      <c r="X325" s="6" t="n"/>
      <c r="Y325" s="6" t="n"/>
    </row>
    <row r="326" ht="22" customHeight="1">
      <c r="A326" s="5" t="n"/>
      <c r="B326" s="6" t="n"/>
      <c r="C326" s="5" t="n"/>
      <c r="D326" s="5" t="n"/>
      <c r="E326" s="5" t="n"/>
      <c r="F326" s="6" t="n"/>
      <c r="G326" s="6" t="n"/>
      <c r="H326" s="7">
        <f>IF(AND(F326="",G326=""),"", "Risk of """ &amp; F326 &amp; """ because of """ &amp; SUBSTITUTE(G326, ", ", """ and """) &amp; """")</f>
        <v/>
      </c>
      <c r="I326" s="5" t="n"/>
      <c r="J326" s="5" t="n"/>
      <c r="K326" s="5" t="n"/>
      <c r="L326" s="8">
        <f>IF(E326="Confidential", 4, IF(E326="Sensitive", 3, IF(E326="Private", 2, IF(E326="Public", 1, ""))))</f>
        <v/>
      </c>
      <c r="M326" s="5" t="n"/>
      <c r="N326" s="8">
        <f>IF(OR(L326="",M326=""), "", L326*M326)</f>
        <v/>
      </c>
      <c r="O326" s="8">
        <f>IF(N326="","", IF(N326&gt;6, "High", IF(N326&gt;=4, "Medium", "Low")))</f>
        <v/>
      </c>
      <c r="P326" s="6" t="n"/>
      <c r="Q326" s="5" t="n"/>
      <c r="R326" s="5" t="n"/>
      <c r="S326" s="5" t="n"/>
      <c r="T326" s="6" t="n"/>
      <c r="U326" s="6" t="n"/>
      <c r="V326" s="6" t="n"/>
      <c r="W326" s="6" t="n"/>
      <c r="X326" s="6" t="n"/>
      <c r="Y326" s="6" t="n"/>
    </row>
    <row r="327" ht="22" customHeight="1">
      <c r="A327" s="5" t="n"/>
      <c r="B327" s="6" t="n"/>
      <c r="C327" s="5" t="n"/>
      <c r="D327" s="5" t="n"/>
      <c r="E327" s="5" t="n"/>
      <c r="F327" s="6" t="n"/>
      <c r="G327" s="6" t="n"/>
      <c r="H327" s="7">
        <f>IF(AND(F327="",G327=""),"", "Risk of """ &amp; F327 &amp; """ because of """ &amp; SUBSTITUTE(G327, ", ", """ and """) &amp; """")</f>
        <v/>
      </c>
      <c r="I327" s="5" t="n"/>
      <c r="J327" s="5" t="n"/>
      <c r="K327" s="5" t="n"/>
      <c r="L327" s="8">
        <f>IF(E327="Confidential", 4, IF(E327="Sensitive", 3, IF(E327="Private", 2, IF(E327="Public", 1, ""))))</f>
        <v/>
      </c>
      <c r="M327" s="5" t="n"/>
      <c r="N327" s="8">
        <f>IF(OR(L327="",M327=""), "", L327*M327)</f>
        <v/>
      </c>
      <c r="O327" s="8">
        <f>IF(N327="","", IF(N327&gt;6, "High", IF(N327&gt;=4, "Medium", "Low")))</f>
        <v/>
      </c>
      <c r="P327" s="6" t="n"/>
      <c r="Q327" s="5" t="n"/>
      <c r="R327" s="5" t="n"/>
      <c r="S327" s="5" t="n"/>
      <c r="T327" s="6" t="n"/>
      <c r="U327" s="6" t="n"/>
      <c r="V327" s="6" t="n"/>
      <c r="W327" s="6" t="n"/>
      <c r="X327" s="6" t="n"/>
      <c r="Y327" s="6" t="n"/>
    </row>
    <row r="328" ht="22" customHeight="1">
      <c r="A328" s="5" t="n"/>
      <c r="B328" s="6" t="n"/>
      <c r="C328" s="5" t="n"/>
      <c r="D328" s="5" t="n"/>
      <c r="E328" s="5" t="n"/>
      <c r="F328" s="6" t="n"/>
      <c r="G328" s="6" t="n"/>
      <c r="H328" s="7">
        <f>IF(AND(F328="",G328=""),"", "Risk of """ &amp; F328 &amp; """ because of """ &amp; SUBSTITUTE(G328, ", ", """ and """) &amp; """")</f>
        <v/>
      </c>
      <c r="I328" s="5" t="n"/>
      <c r="J328" s="5" t="n"/>
      <c r="K328" s="5" t="n"/>
      <c r="L328" s="8">
        <f>IF(E328="Confidential", 4, IF(E328="Sensitive", 3, IF(E328="Private", 2, IF(E328="Public", 1, ""))))</f>
        <v/>
      </c>
      <c r="M328" s="5" t="n"/>
      <c r="N328" s="8">
        <f>IF(OR(L328="",M328=""), "", L328*M328)</f>
        <v/>
      </c>
      <c r="O328" s="8">
        <f>IF(N328="","", IF(N328&gt;6, "High", IF(N328&gt;=4, "Medium", "Low")))</f>
        <v/>
      </c>
      <c r="P328" s="6" t="n"/>
      <c r="Q328" s="5" t="n"/>
      <c r="R328" s="5" t="n"/>
      <c r="S328" s="5" t="n"/>
      <c r="T328" s="6" t="n"/>
      <c r="U328" s="6" t="n"/>
      <c r="V328" s="6" t="n"/>
      <c r="W328" s="6" t="n"/>
      <c r="X328" s="6" t="n"/>
      <c r="Y328" s="6" t="n"/>
    </row>
    <row r="329" ht="22" customHeight="1">
      <c r="A329" s="5" t="n"/>
      <c r="B329" s="6" t="n"/>
      <c r="C329" s="5" t="n"/>
      <c r="D329" s="5" t="n"/>
      <c r="E329" s="5" t="n"/>
      <c r="F329" s="6" t="n"/>
      <c r="G329" s="6" t="n"/>
      <c r="H329" s="7">
        <f>IF(AND(F329="",G329=""),"", "Risk of """ &amp; F329 &amp; """ because of """ &amp; SUBSTITUTE(G329, ", ", """ and """) &amp; """")</f>
        <v/>
      </c>
      <c r="I329" s="5" t="n"/>
      <c r="J329" s="5" t="n"/>
      <c r="K329" s="5" t="n"/>
      <c r="L329" s="8">
        <f>IF(E329="Confidential", 4, IF(E329="Sensitive", 3, IF(E329="Private", 2, IF(E329="Public", 1, ""))))</f>
        <v/>
      </c>
      <c r="M329" s="5" t="n"/>
      <c r="N329" s="8">
        <f>IF(OR(L329="",M329=""), "", L329*M329)</f>
        <v/>
      </c>
      <c r="O329" s="8">
        <f>IF(N329="","", IF(N329&gt;6, "High", IF(N329&gt;=4, "Medium", "Low")))</f>
        <v/>
      </c>
      <c r="P329" s="6" t="n"/>
      <c r="Q329" s="5" t="n"/>
      <c r="R329" s="5" t="n"/>
      <c r="S329" s="5" t="n"/>
      <c r="T329" s="6" t="n"/>
      <c r="U329" s="6" t="n"/>
      <c r="V329" s="6" t="n"/>
      <c r="W329" s="6" t="n"/>
      <c r="X329" s="6" t="n"/>
      <c r="Y329" s="6" t="n"/>
    </row>
    <row r="330" ht="22" customHeight="1">
      <c r="A330" s="5" t="n"/>
      <c r="B330" s="6" t="n"/>
      <c r="C330" s="5" t="n"/>
      <c r="D330" s="5" t="n"/>
      <c r="E330" s="5" t="n"/>
      <c r="F330" s="6" t="n"/>
      <c r="G330" s="6" t="n"/>
      <c r="H330" s="7">
        <f>IF(AND(F330="",G330=""),"", "Risk of """ &amp; F330 &amp; """ because of """ &amp; SUBSTITUTE(G330, ", ", """ and """) &amp; """")</f>
        <v/>
      </c>
      <c r="I330" s="5" t="n"/>
      <c r="J330" s="5" t="n"/>
      <c r="K330" s="5" t="n"/>
      <c r="L330" s="8">
        <f>IF(E330="Confidential", 4, IF(E330="Sensitive", 3, IF(E330="Private", 2, IF(E330="Public", 1, ""))))</f>
        <v/>
      </c>
      <c r="M330" s="5" t="n"/>
      <c r="N330" s="8">
        <f>IF(OR(L330="",M330=""), "", L330*M330)</f>
        <v/>
      </c>
      <c r="O330" s="8">
        <f>IF(N330="","", IF(N330&gt;6, "High", IF(N330&gt;=4, "Medium", "Low")))</f>
        <v/>
      </c>
      <c r="P330" s="6" t="n"/>
      <c r="Q330" s="5" t="n"/>
      <c r="R330" s="5" t="n"/>
      <c r="S330" s="5" t="n"/>
      <c r="T330" s="6" t="n"/>
      <c r="U330" s="6" t="n"/>
      <c r="V330" s="6" t="n"/>
      <c r="W330" s="6" t="n"/>
      <c r="X330" s="6" t="n"/>
      <c r="Y330" s="6" t="n"/>
    </row>
    <row r="331" ht="22" customHeight="1">
      <c r="A331" s="5" t="n"/>
      <c r="B331" s="6" t="n"/>
      <c r="C331" s="5" t="n"/>
      <c r="D331" s="5" t="n"/>
      <c r="E331" s="5" t="n"/>
      <c r="F331" s="6" t="n"/>
      <c r="G331" s="6" t="n"/>
      <c r="H331" s="7">
        <f>IF(AND(F331="",G331=""),"", "Risk of """ &amp; F331 &amp; """ because of """ &amp; SUBSTITUTE(G331, ", ", """ and """) &amp; """")</f>
        <v/>
      </c>
      <c r="I331" s="5" t="n"/>
      <c r="J331" s="5" t="n"/>
      <c r="K331" s="5" t="n"/>
      <c r="L331" s="8">
        <f>IF(E331="Confidential", 4, IF(E331="Sensitive", 3, IF(E331="Private", 2, IF(E331="Public", 1, ""))))</f>
        <v/>
      </c>
      <c r="M331" s="5" t="n"/>
      <c r="N331" s="8">
        <f>IF(OR(L331="",M331=""), "", L331*M331)</f>
        <v/>
      </c>
      <c r="O331" s="8">
        <f>IF(N331="","", IF(N331&gt;6, "High", IF(N331&gt;=4, "Medium", "Low")))</f>
        <v/>
      </c>
      <c r="P331" s="6" t="n"/>
      <c r="Q331" s="5" t="n"/>
      <c r="R331" s="5" t="n"/>
      <c r="S331" s="5" t="n"/>
      <c r="T331" s="6" t="n"/>
      <c r="U331" s="6" t="n"/>
      <c r="V331" s="6" t="n"/>
      <c r="W331" s="6" t="n"/>
      <c r="X331" s="6" t="n"/>
      <c r="Y331" s="6" t="n"/>
    </row>
    <row r="332" ht="22" customHeight="1">
      <c r="A332" s="5" t="n"/>
      <c r="B332" s="6" t="n"/>
      <c r="C332" s="5" t="n"/>
      <c r="D332" s="5" t="n"/>
      <c r="E332" s="5" t="n"/>
      <c r="F332" s="6" t="n"/>
      <c r="G332" s="6" t="n"/>
      <c r="H332" s="7">
        <f>IF(AND(F332="",G332=""),"", "Risk of """ &amp; F332 &amp; """ because of """ &amp; SUBSTITUTE(G332, ", ", """ and """) &amp; """")</f>
        <v/>
      </c>
      <c r="I332" s="5" t="n"/>
      <c r="J332" s="5" t="n"/>
      <c r="K332" s="5" t="n"/>
      <c r="L332" s="8">
        <f>IF(E332="Confidential", 4, IF(E332="Sensitive", 3, IF(E332="Private", 2, IF(E332="Public", 1, ""))))</f>
        <v/>
      </c>
      <c r="M332" s="5" t="n"/>
      <c r="N332" s="8">
        <f>IF(OR(L332="",M332=""), "", L332*M332)</f>
        <v/>
      </c>
      <c r="O332" s="8">
        <f>IF(N332="","", IF(N332&gt;6, "High", IF(N332&gt;=4, "Medium", "Low")))</f>
        <v/>
      </c>
      <c r="P332" s="6" t="n"/>
      <c r="Q332" s="5" t="n"/>
      <c r="R332" s="5" t="n"/>
      <c r="S332" s="5" t="n"/>
      <c r="T332" s="6" t="n"/>
      <c r="U332" s="6" t="n"/>
      <c r="V332" s="6" t="n"/>
      <c r="W332" s="6" t="n"/>
      <c r="X332" s="6" t="n"/>
      <c r="Y332" s="6" t="n"/>
    </row>
    <row r="333" ht="22" customHeight="1">
      <c r="A333" s="5" t="n"/>
      <c r="B333" s="6" t="n"/>
      <c r="C333" s="5" t="n"/>
      <c r="D333" s="5" t="n"/>
      <c r="E333" s="5" t="n"/>
      <c r="F333" s="6" t="n"/>
      <c r="G333" s="6" t="n"/>
      <c r="H333" s="7">
        <f>IF(AND(F333="",G333=""),"", "Risk of """ &amp; F333 &amp; """ because of """ &amp; SUBSTITUTE(G333, ", ", """ and """) &amp; """")</f>
        <v/>
      </c>
      <c r="I333" s="5" t="n"/>
      <c r="J333" s="5" t="n"/>
      <c r="K333" s="5" t="n"/>
      <c r="L333" s="8">
        <f>IF(E333="Confidential", 4, IF(E333="Sensitive", 3, IF(E333="Private", 2, IF(E333="Public", 1, ""))))</f>
        <v/>
      </c>
      <c r="M333" s="5" t="n"/>
      <c r="N333" s="8">
        <f>IF(OR(L333="",M333=""), "", L333*M333)</f>
        <v/>
      </c>
      <c r="O333" s="8">
        <f>IF(N333="","", IF(N333&gt;6, "High", IF(N333&gt;=4, "Medium", "Low")))</f>
        <v/>
      </c>
      <c r="P333" s="6" t="n"/>
      <c r="Q333" s="5" t="n"/>
      <c r="R333" s="5" t="n"/>
      <c r="S333" s="5" t="n"/>
      <c r="T333" s="6" t="n"/>
      <c r="U333" s="6" t="n"/>
      <c r="V333" s="6" t="n"/>
      <c r="W333" s="6" t="n"/>
      <c r="X333" s="6" t="n"/>
      <c r="Y333" s="6" t="n"/>
    </row>
    <row r="334" ht="22" customHeight="1">
      <c r="A334" s="5" t="n"/>
      <c r="B334" s="6" t="n"/>
      <c r="C334" s="5" t="n"/>
      <c r="D334" s="5" t="n"/>
      <c r="E334" s="5" t="n"/>
      <c r="F334" s="6" t="n"/>
      <c r="G334" s="6" t="n"/>
      <c r="H334" s="7">
        <f>IF(AND(F334="",G334=""),"", "Risk of """ &amp; F334 &amp; """ because of """ &amp; SUBSTITUTE(G334, ", ", """ and """) &amp; """")</f>
        <v/>
      </c>
      <c r="I334" s="5" t="n"/>
      <c r="J334" s="5" t="n"/>
      <c r="K334" s="5" t="n"/>
      <c r="L334" s="8">
        <f>IF(E334="Confidential", 4, IF(E334="Sensitive", 3, IF(E334="Private", 2, IF(E334="Public", 1, ""))))</f>
        <v/>
      </c>
      <c r="M334" s="5" t="n"/>
      <c r="N334" s="8">
        <f>IF(OR(L334="",M334=""), "", L334*M334)</f>
        <v/>
      </c>
      <c r="O334" s="8">
        <f>IF(N334="","", IF(N334&gt;6, "High", IF(N334&gt;=4, "Medium", "Low")))</f>
        <v/>
      </c>
      <c r="P334" s="6" t="n"/>
      <c r="Q334" s="5" t="n"/>
      <c r="R334" s="5" t="n"/>
      <c r="S334" s="5" t="n"/>
      <c r="T334" s="6" t="n"/>
      <c r="U334" s="6" t="n"/>
      <c r="V334" s="6" t="n"/>
      <c r="W334" s="6" t="n"/>
      <c r="X334" s="6" t="n"/>
      <c r="Y334" s="6" t="n"/>
    </row>
    <row r="335" ht="22" customHeight="1">
      <c r="A335" s="5" t="n"/>
      <c r="B335" s="6" t="n"/>
      <c r="C335" s="5" t="n"/>
      <c r="D335" s="5" t="n"/>
      <c r="E335" s="5" t="n"/>
      <c r="F335" s="6" t="n"/>
      <c r="G335" s="6" t="n"/>
      <c r="H335" s="7">
        <f>IF(AND(F335="",G335=""),"", "Risk of """ &amp; F335 &amp; """ because of """ &amp; SUBSTITUTE(G335, ", ", """ and """) &amp; """")</f>
        <v/>
      </c>
      <c r="I335" s="5" t="n"/>
      <c r="J335" s="5" t="n"/>
      <c r="K335" s="5" t="n"/>
      <c r="L335" s="8">
        <f>IF(E335="Confidential", 4, IF(E335="Sensitive", 3, IF(E335="Private", 2, IF(E335="Public", 1, ""))))</f>
        <v/>
      </c>
      <c r="M335" s="5" t="n"/>
      <c r="N335" s="8">
        <f>IF(OR(L335="",M335=""), "", L335*M335)</f>
        <v/>
      </c>
      <c r="O335" s="8">
        <f>IF(N335="","", IF(N335&gt;6, "High", IF(N335&gt;=4, "Medium", "Low")))</f>
        <v/>
      </c>
      <c r="P335" s="6" t="n"/>
      <c r="Q335" s="5" t="n"/>
      <c r="R335" s="5" t="n"/>
      <c r="S335" s="5" t="n"/>
      <c r="T335" s="6" t="n"/>
      <c r="U335" s="6" t="n"/>
      <c r="V335" s="6" t="n"/>
      <c r="W335" s="6" t="n"/>
      <c r="X335" s="6" t="n"/>
      <c r="Y335" s="6" t="n"/>
    </row>
    <row r="336" ht="22" customHeight="1">
      <c r="A336" s="5" t="n"/>
      <c r="B336" s="6" t="n"/>
      <c r="C336" s="5" t="n"/>
      <c r="D336" s="5" t="n"/>
      <c r="E336" s="5" t="n"/>
      <c r="F336" s="6" t="n"/>
      <c r="G336" s="6" t="n"/>
      <c r="H336" s="7">
        <f>IF(AND(F336="",G336=""),"", "Risk of """ &amp; F336 &amp; """ because of """ &amp; SUBSTITUTE(G336, ", ", """ and """) &amp; """")</f>
        <v/>
      </c>
      <c r="I336" s="5" t="n"/>
      <c r="J336" s="5" t="n"/>
      <c r="K336" s="5" t="n"/>
      <c r="L336" s="8">
        <f>IF(E336="Confidential", 4, IF(E336="Sensitive", 3, IF(E336="Private", 2, IF(E336="Public", 1, ""))))</f>
        <v/>
      </c>
      <c r="M336" s="5" t="n"/>
      <c r="N336" s="8">
        <f>IF(OR(L336="",M336=""), "", L336*M336)</f>
        <v/>
      </c>
      <c r="O336" s="8">
        <f>IF(N336="","", IF(N336&gt;6, "High", IF(N336&gt;=4, "Medium", "Low")))</f>
        <v/>
      </c>
      <c r="P336" s="6" t="n"/>
      <c r="Q336" s="5" t="n"/>
      <c r="R336" s="5" t="n"/>
      <c r="S336" s="5" t="n"/>
      <c r="T336" s="6" t="n"/>
      <c r="U336" s="6" t="n"/>
      <c r="V336" s="6" t="n"/>
      <c r="W336" s="6" t="n"/>
      <c r="X336" s="6" t="n"/>
      <c r="Y336" s="6" t="n"/>
    </row>
    <row r="337" ht="22" customHeight="1">
      <c r="A337" s="5" t="n"/>
      <c r="B337" s="6" t="n"/>
      <c r="C337" s="5" t="n"/>
      <c r="D337" s="5" t="n"/>
      <c r="E337" s="5" t="n"/>
      <c r="F337" s="6" t="n"/>
      <c r="G337" s="6" t="n"/>
      <c r="H337" s="7">
        <f>IF(AND(F337="",G337=""),"", "Risk of """ &amp; F337 &amp; """ because of """ &amp; SUBSTITUTE(G337, ", ", """ and """) &amp; """")</f>
        <v/>
      </c>
      <c r="I337" s="5" t="n"/>
      <c r="J337" s="5" t="n"/>
      <c r="K337" s="5" t="n"/>
      <c r="L337" s="8">
        <f>IF(E337="Confidential", 4, IF(E337="Sensitive", 3, IF(E337="Private", 2, IF(E337="Public", 1, ""))))</f>
        <v/>
      </c>
      <c r="M337" s="5" t="n"/>
      <c r="N337" s="8">
        <f>IF(OR(L337="",M337=""), "", L337*M337)</f>
        <v/>
      </c>
      <c r="O337" s="8">
        <f>IF(N337="","", IF(N337&gt;6, "High", IF(N337&gt;=4, "Medium", "Low")))</f>
        <v/>
      </c>
      <c r="P337" s="6" t="n"/>
      <c r="Q337" s="5" t="n"/>
      <c r="R337" s="5" t="n"/>
      <c r="S337" s="5" t="n"/>
      <c r="T337" s="6" t="n"/>
      <c r="U337" s="6" t="n"/>
      <c r="V337" s="6" t="n"/>
      <c r="W337" s="6" t="n"/>
      <c r="X337" s="6" t="n"/>
      <c r="Y337" s="6" t="n"/>
    </row>
    <row r="338" ht="22" customHeight="1">
      <c r="A338" s="5" t="n"/>
      <c r="B338" s="6" t="n"/>
      <c r="C338" s="5" t="n"/>
      <c r="D338" s="5" t="n"/>
      <c r="E338" s="5" t="n"/>
      <c r="F338" s="6" t="n"/>
      <c r="G338" s="6" t="n"/>
      <c r="H338" s="7">
        <f>IF(AND(F338="",G338=""),"", "Risk of """ &amp; F338 &amp; """ because of """ &amp; SUBSTITUTE(G338, ", ", """ and """) &amp; """")</f>
        <v/>
      </c>
      <c r="I338" s="5" t="n"/>
      <c r="J338" s="5" t="n"/>
      <c r="K338" s="5" t="n"/>
      <c r="L338" s="8">
        <f>IF(E338="Confidential", 4, IF(E338="Sensitive", 3, IF(E338="Private", 2, IF(E338="Public", 1, ""))))</f>
        <v/>
      </c>
      <c r="M338" s="5" t="n"/>
      <c r="N338" s="8">
        <f>IF(OR(L338="",M338=""), "", L338*M338)</f>
        <v/>
      </c>
      <c r="O338" s="8">
        <f>IF(N338="","", IF(N338&gt;6, "High", IF(N338&gt;=4, "Medium", "Low")))</f>
        <v/>
      </c>
      <c r="P338" s="6" t="n"/>
      <c r="Q338" s="5" t="n"/>
      <c r="R338" s="5" t="n"/>
      <c r="S338" s="5" t="n"/>
      <c r="T338" s="6" t="n"/>
      <c r="U338" s="6" t="n"/>
      <c r="V338" s="6" t="n"/>
      <c r="W338" s="6" t="n"/>
      <c r="X338" s="6" t="n"/>
      <c r="Y338" s="6" t="n"/>
    </row>
    <row r="339" ht="22" customHeight="1">
      <c r="A339" s="5" t="n"/>
      <c r="B339" s="6" t="n"/>
      <c r="C339" s="5" t="n"/>
      <c r="D339" s="5" t="n"/>
      <c r="E339" s="5" t="n"/>
      <c r="F339" s="6" t="n"/>
      <c r="G339" s="6" t="n"/>
      <c r="H339" s="7">
        <f>IF(AND(F339="",G339=""),"", "Risk of """ &amp; F339 &amp; """ because of """ &amp; SUBSTITUTE(G339, ", ", """ and """) &amp; """")</f>
        <v/>
      </c>
      <c r="I339" s="5" t="n"/>
      <c r="J339" s="5" t="n"/>
      <c r="K339" s="5" t="n"/>
      <c r="L339" s="8">
        <f>IF(E339="Confidential", 4, IF(E339="Sensitive", 3, IF(E339="Private", 2, IF(E339="Public", 1, ""))))</f>
        <v/>
      </c>
      <c r="M339" s="5" t="n"/>
      <c r="N339" s="8">
        <f>IF(OR(L339="",M339=""), "", L339*M339)</f>
        <v/>
      </c>
      <c r="O339" s="8">
        <f>IF(N339="","", IF(N339&gt;6, "High", IF(N339&gt;=4, "Medium", "Low")))</f>
        <v/>
      </c>
      <c r="P339" s="6" t="n"/>
      <c r="Q339" s="5" t="n"/>
      <c r="R339" s="5" t="n"/>
      <c r="S339" s="5" t="n"/>
      <c r="T339" s="6" t="n"/>
      <c r="U339" s="6" t="n"/>
      <c r="V339" s="6" t="n"/>
      <c r="W339" s="6" t="n"/>
      <c r="X339" s="6" t="n"/>
      <c r="Y339" s="6" t="n"/>
    </row>
    <row r="340" ht="22" customHeight="1">
      <c r="A340" s="5" t="n"/>
      <c r="B340" s="6" t="n"/>
      <c r="C340" s="5" t="n"/>
      <c r="D340" s="5" t="n"/>
      <c r="E340" s="5" t="n"/>
      <c r="F340" s="6" t="n"/>
      <c r="G340" s="6" t="n"/>
      <c r="H340" s="7">
        <f>IF(AND(F340="",G340=""),"", "Risk of """ &amp; F340 &amp; """ because of """ &amp; SUBSTITUTE(G340, ", ", """ and """) &amp; """")</f>
        <v/>
      </c>
      <c r="I340" s="5" t="n"/>
      <c r="J340" s="5" t="n"/>
      <c r="K340" s="5" t="n"/>
      <c r="L340" s="8">
        <f>IF(E340="Confidential", 4, IF(E340="Sensitive", 3, IF(E340="Private", 2, IF(E340="Public", 1, ""))))</f>
        <v/>
      </c>
      <c r="M340" s="5" t="n"/>
      <c r="N340" s="8">
        <f>IF(OR(L340="",M340=""), "", L340*M340)</f>
        <v/>
      </c>
      <c r="O340" s="8">
        <f>IF(N340="","", IF(N340&gt;6, "High", IF(N340&gt;=4, "Medium", "Low")))</f>
        <v/>
      </c>
      <c r="P340" s="6" t="n"/>
      <c r="Q340" s="5" t="n"/>
      <c r="R340" s="5" t="n"/>
      <c r="S340" s="5" t="n"/>
      <c r="T340" s="6" t="n"/>
      <c r="U340" s="6" t="n"/>
      <c r="V340" s="6" t="n"/>
      <c r="W340" s="6" t="n"/>
      <c r="X340" s="6" t="n"/>
      <c r="Y340" s="6" t="n"/>
    </row>
    <row r="341" ht="22" customHeight="1">
      <c r="A341" s="5" t="n"/>
      <c r="B341" s="6" t="n"/>
      <c r="C341" s="5" t="n"/>
      <c r="D341" s="5" t="n"/>
      <c r="E341" s="5" t="n"/>
      <c r="F341" s="6" t="n"/>
      <c r="G341" s="6" t="n"/>
      <c r="H341" s="7">
        <f>IF(AND(F341="",G341=""),"", "Risk of """ &amp; F341 &amp; """ because of """ &amp; SUBSTITUTE(G341, ", ", """ and """) &amp; """")</f>
        <v/>
      </c>
      <c r="I341" s="5" t="n"/>
      <c r="J341" s="5" t="n"/>
      <c r="K341" s="5" t="n"/>
      <c r="L341" s="8">
        <f>IF(E341="Confidential", 4, IF(E341="Sensitive", 3, IF(E341="Private", 2, IF(E341="Public", 1, ""))))</f>
        <v/>
      </c>
      <c r="M341" s="5" t="n"/>
      <c r="N341" s="8">
        <f>IF(OR(L341="",M341=""), "", L341*M341)</f>
        <v/>
      </c>
      <c r="O341" s="8">
        <f>IF(N341="","", IF(N341&gt;6, "High", IF(N341&gt;=4, "Medium", "Low")))</f>
        <v/>
      </c>
      <c r="P341" s="6" t="n"/>
      <c r="Q341" s="5" t="n"/>
      <c r="R341" s="5" t="n"/>
      <c r="S341" s="5" t="n"/>
      <c r="T341" s="6" t="n"/>
      <c r="U341" s="6" t="n"/>
      <c r="V341" s="6" t="n"/>
      <c r="W341" s="6" t="n"/>
      <c r="X341" s="6" t="n"/>
      <c r="Y341" s="6" t="n"/>
    </row>
    <row r="342" ht="22" customHeight="1">
      <c r="A342" s="5" t="n"/>
      <c r="B342" s="6" t="n"/>
      <c r="C342" s="5" t="n"/>
      <c r="D342" s="5" t="n"/>
      <c r="E342" s="5" t="n"/>
      <c r="F342" s="6" t="n"/>
      <c r="G342" s="6" t="n"/>
      <c r="H342" s="7">
        <f>IF(AND(F342="",G342=""),"", "Risk of """ &amp; F342 &amp; """ because of """ &amp; SUBSTITUTE(G342, ", ", """ and """) &amp; """")</f>
        <v/>
      </c>
      <c r="I342" s="5" t="n"/>
      <c r="J342" s="5" t="n"/>
      <c r="K342" s="5" t="n"/>
      <c r="L342" s="8">
        <f>IF(E342="Confidential", 4, IF(E342="Sensitive", 3, IF(E342="Private", 2, IF(E342="Public", 1, ""))))</f>
        <v/>
      </c>
      <c r="M342" s="5" t="n"/>
      <c r="N342" s="8">
        <f>IF(OR(L342="",M342=""), "", L342*M342)</f>
        <v/>
      </c>
      <c r="O342" s="8">
        <f>IF(N342="","", IF(N342&gt;6, "High", IF(N342&gt;=4, "Medium", "Low")))</f>
        <v/>
      </c>
      <c r="P342" s="6" t="n"/>
      <c r="Q342" s="5" t="n"/>
      <c r="R342" s="5" t="n"/>
      <c r="S342" s="5" t="n"/>
      <c r="T342" s="6" t="n"/>
      <c r="U342" s="6" t="n"/>
      <c r="V342" s="6" t="n"/>
      <c r="W342" s="6" t="n"/>
      <c r="X342" s="6" t="n"/>
      <c r="Y342" s="6" t="n"/>
    </row>
    <row r="343" ht="22" customHeight="1">
      <c r="A343" s="5" t="n"/>
      <c r="B343" s="6" t="n"/>
      <c r="C343" s="5" t="n"/>
      <c r="D343" s="5" t="n"/>
      <c r="E343" s="5" t="n"/>
      <c r="F343" s="6" t="n"/>
      <c r="G343" s="6" t="n"/>
      <c r="H343" s="7">
        <f>IF(AND(F343="",G343=""),"", "Risk of """ &amp; F343 &amp; """ because of """ &amp; SUBSTITUTE(G343, ", ", """ and """) &amp; """")</f>
        <v/>
      </c>
      <c r="I343" s="5" t="n"/>
      <c r="J343" s="5" t="n"/>
      <c r="K343" s="5" t="n"/>
      <c r="L343" s="8">
        <f>IF(E343="Confidential", 4, IF(E343="Sensitive", 3, IF(E343="Private", 2, IF(E343="Public", 1, ""))))</f>
        <v/>
      </c>
      <c r="M343" s="5" t="n"/>
      <c r="N343" s="8">
        <f>IF(OR(L343="",M343=""), "", L343*M343)</f>
        <v/>
      </c>
      <c r="O343" s="8">
        <f>IF(N343="","", IF(N343&gt;6, "High", IF(N343&gt;=4, "Medium", "Low")))</f>
        <v/>
      </c>
      <c r="P343" s="6" t="n"/>
      <c r="Q343" s="5" t="n"/>
      <c r="R343" s="5" t="n"/>
      <c r="S343" s="5" t="n"/>
      <c r="T343" s="6" t="n"/>
      <c r="U343" s="6" t="n"/>
      <c r="V343" s="6" t="n"/>
      <c r="W343" s="6" t="n"/>
      <c r="X343" s="6" t="n"/>
      <c r="Y343" s="6" t="n"/>
    </row>
    <row r="344" ht="22" customHeight="1">
      <c r="A344" s="5" t="n"/>
      <c r="B344" s="6" t="n"/>
      <c r="C344" s="5" t="n"/>
      <c r="D344" s="5" t="n"/>
      <c r="E344" s="5" t="n"/>
      <c r="F344" s="6" t="n"/>
      <c r="G344" s="6" t="n"/>
      <c r="H344" s="7">
        <f>IF(AND(F344="",G344=""),"", "Risk of """ &amp; F344 &amp; """ because of """ &amp; SUBSTITUTE(G344, ", ", """ and """) &amp; """")</f>
        <v/>
      </c>
      <c r="I344" s="5" t="n"/>
      <c r="J344" s="5" t="n"/>
      <c r="K344" s="5" t="n"/>
      <c r="L344" s="8">
        <f>IF(E344="Confidential", 4, IF(E344="Sensitive", 3, IF(E344="Private", 2, IF(E344="Public", 1, ""))))</f>
        <v/>
      </c>
      <c r="M344" s="5" t="n"/>
      <c r="N344" s="8">
        <f>IF(OR(L344="",M344=""), "", L344*M344)</f>
        <v/>
      </c>
      <c r="O344" s="8">
        <f>IF(N344="","", IF(N344&gt;6, "High", IF(N344&gt;=4, "Medium", "Low")))</f>
        <v/>
      </c>
      <c r="P344" s="6" t="n"/>
      <c r="Q344" s="5" t="n"/>
      <c r="R344" s="5" t="n"/>
      <c r="S344" s="5" t="n"/>
      <c r="T344" s="6" t="n"/>
      <c r="U344" s="6" t="n"/>
      <c r="V344" s="6" t="n"/>
      <c r="W344" s="6" t="n"/>
      <c r="X344" s="6" t="n"/>
      <c r="Y344" s="6" t="n"/>
    </row>
    <row r="345" ht="22" customHeight="1">
      <c r="A345" s="5" t="n"/>
      <c r="B345" s="6" t="n"/>
      <c r="C345" s="5" t="n"/>
      <c r="D345" s="5" t="n"/>
      <c r="E345" s="5" t="n"/>
      <c r="F345" s="6" t="n"/>
      <c r="G345" s="6" t="n"/>
      <c r="H345" s="7">
        <f>IF(AND(F345="",G345=""),"", "Risk of """ &amp; F345 &amp; """ because of """ &amp; SUBSTITUTE(G345, ", ", """ and """) &amp; """")</f>
        <v/>
      </c>
      <c r="I345" s="5" t="n"/>
      <c r="J345" s="5" t="n"/>
      <c r="K345" s="5" t="n"/>
      <c r="L345" s="8">
        <f>IF(E345="Confidential", 4, IF(E345="Sensitive", 3, IF(E345="Private", 2, IF(E345="Public", 1, ""))))</f>
        <v/>
      </c>
      <c r="M345" s="5" t="n"/>
      <c r="N345" s="8">
        <f>IF(OR(L345="",M345=""), "", L345*M345)</f>
        <v/>
      </c>
      <c r="O345" s="8">
        <f>IF(N345="","", IF(N345&gt;6, "High", IF(N345&gt;=4, "Medium", "Low")))</f>
        <v/>
      </c>
      <c r="P345" s="6" t="n"/>
      <c r="Q345" s="5" t="n"/>
      <c r="R345" s="5" t="n"/>
      <c r="S345" s="5" t="n"/>
      <c r="T345" s="6" t="n"/>
      <c r="U345" s="6" t="n"/>
      <c r="V345" s="6" t="n"/>
      <c r="W345" s="6" t="n"/>
      <c r="X345" s="6" t="n"/>
      <c r="Y345" s="6" t="n"/>
    </row>
    <row r="346" ht="22" customHeight="1">
      <c r="A346" s="5" t="n"/>
      <c r="B346" s="6" t="n"/>
      <c r="C346" s="5" t="n"/>
      <c r="D346" s="5" t="n"/>
      <c r="E346" s="5" t="n"/>
      <c r="F346" s="6" t="n"/>
      <c r="G346" s="6" t="n"/>
      <c r="H346" s="7">
        <f>IF(AND(F346="",G346=""),"", "Risk of """ &amp; F346 &amp; """ because of """ &amp; SUBSTITUTE(G346, ", ", """ and """) &amp; """")</f>
        <v/>
      </c>
      <c r="I346" s="5" t="n"/>
      <c r="J346" s="5" t="n"/>
      <c r="K346" s="5" t="n"/>
      <c r="L346" s="8">
        <f>IF(E346="Confidential", 4, IF(E346="Sensitive", 3, IF(E346="Private", 2, IF(E346="Public", 1, ""))))</f>
        <v/>
      </c>
      <c r="M346" s="5" t="n"/>
      <c r="N346" s="8">
        <f>IF(OR(L346="",M346=""), "", L346*M346)</f>
        <v/>
      </c>
      <c r="O346" s="8">
        <f>IF(N346="","", IF(N346&gt;6, "High", IF(N346&gt;=4, "Medium", "Low")))</f>
        <v/>
      </c>
      <c r="P346" s="6" t="n"/>
      <c r="Q346" s="5" t="n"/>
      <c r="R346" s="5" t="n"/>
      <c r="S346" s="5" t="n"/>
      <c r="T346" s="6" t="n"/>
      <c r="U346" s="6" t="n"/>
      <c r="V346" s="6" t="n"/>
      <c r="W346" s="6" t="n"/>
      <c r="X346" s="6" t="n"/>
      <c r="Y346" s="6" t="n"/>
    </row>
    <row r="347" ht="22" customHeight="1">
      <c r="A347" s="5" t="n"/>
      <c r="B347" s="6" t="n"/>
      <c r="C347" s="5" t="n"/>
      <c r="D347" s="5" t="n"/>
      <c r="E347" s="5" t="n"/>
      <c r="F347" s="6" t="n"/>
      <c r="G347" s="6" t="n"/>
      <c r="H347" s="7">
        <f>IF(AND(F347="",G347=""),"", "Risk of """ &amp; F347 &amp; """ because of """ &amp; SUBSTITUTE(G347, ", ", """ and """) &amp; """")</f>
        <v/>
      </c>
      <c r="I347" s="5" t="n"/>
      <c r="J347" s="5" t="n"/>
      <c r="K347" s="5" t="n"/>
      <c r="L347" s="8">
        <f>IF(E347="Confidential", 4, IF(E347="Sensitive", 3, IF(E347="Private", 2, IF(E347="Public", 1, ""))))</f>
        <v/>
      </c>
      <c r="M347" s="5" t="n"/>
      <c r="N347" s="8">
        <f>IF(OR(L347="",M347=""), "", L347*M347)</f>
        <v/>
      </c>
      <c r="O347" s="8">
        <f>IF(N347="","", IF(N347&gt;6, "High", IF(N347&gt;=4, "Medium", "Low")))</f>
        <v/>
      </c>
      <c r="P347" s="6" t="n"/>
      <c r="Q347" s="5" t="n"/>
      <c r="R347" s="5" t="n"/>
      <c r="S347" s="5" t="n"/>
      <c r="T347" s="6" t="n"/>
      <c r="U347" s="6" t="n"/>
      <c r="V347" s="6" t="n"/>
      <c r="W347" s="6" t="n"/>
      <c r="X347" s="6" t="n"/>
      <c r="Y347" s="6" t="n"/>
    </row>
    <row r="348" ht="22" customHeight="1">
      <c r="A348" s="5" t="n"/>
      <c r="B348" s="6" t="n"/>
      <c r="C348" s="5" t="n"/>
      <c r="D348" s="5" t="n"/>
      <c r="E348" s="5" t="n"/>
      <c r="F348" s="6" t="n"/>
      <c r="G348" s="6" t="n"/>
      <c r="H348" s="7">
        <f>IF(AND(F348="",G348=""),"", "Risk of """ &amp; F348 &amp; """ because of """ &amp; SUBSTITUTE(G348, ", ", """ and """) &amp; """")</f>
        <v/>
      </c>
      <c r="I348" s="5" t="n"/>
      <c r="J348" s="5" t="n"/>
      <c r="K348" s="5" t="n"/>
      <c r="L348" s="8">
        <f>IF(E348="Confidential", 4, IF(E348="Sensitive", 3, IF(E348="Private", 2, IF(E348="Public", 1, ""))))</f>
        <v/>
      </c>
      <c r="M348" s="5" t="n"/>
      <c r="N348" s="8">
        <f>IF(OR(L348="",M348=""), "", L348*M348)</f>
        <v/>
      </c>
      <c r="O348" s="8">
        <f>IF(N348="","", IF(N348&gt;6, "High", IF(N348&gt;=4, "Medium", "Low")))</f>
        <v/>
      </c>
      <c r="P348" s="6" t="n"/>
      <c r="Q348" s="5" t="n"/>
      <c r="R348" s="5" t="n"/>
      <c r="S348" s="5" t="n"/>
      <c r="T348" s="6" t="n"/>
      <c r="U348" s="6" t="n"/>
      <c r="V348" s="6" t="n"/>
      <c r="W348" s="6" t="n"/>
      <c r="X348" s="6" t="n"/>
      <c r="Y348" s="6" t="n"/>
    </row>
    <row r="349" ht="22" customHeight="1">
      <c r="A349" s="5" t="n"/>
      <c r="B349" s="6" t="n"/>
      <c r="C349" s="5" t="n"/>
      <c r="D349" s="5" t="n"/>
      <c r="E349" s="5" t="n"/>
      <c r="F349" s="6" t="n"/>
      <c r="G349" s="6" t="n"/>
      <c r="H349" s="7">
        <f>IF(AND(F349="",G349=""),"", "Risk of """ &amp; F349 &amp; """ because of """ &amp; SUBSTITUTE(G349, ", ", """ and """) &amp; """")</f>
        <v/>
      </c>
      <c r="I349" s="5" t="n"/>
      <c r="J349" s="5" t="n"/>
      <c r="K349" s="5" t="n"/>
      <c r="L349" s="8">
        <f>IF(E349="Confidential", 4, IF(E349="Sensitive", 3, IF(E349="Private", 2, IF(E349="Public", 1, ""))))</f>
        <v/>
      </c>
      <c r="M349" s="5" t="n"/>
      <c r="N349" s="8">
        <f>IF(OR(L349="",M349=""), "", L349*M349)</f>
        <v/>
      </c>
      <c r="O349" s="8">
        <f>IF(N349="","", IF(N349&gt;6, "High", IF(N349&gt;=4, "Medium", "Low")))</f>
        <v/>
      </c>
      <c r="P349" s="6" t="n"/>
      <c r="Q349" s="5" t="n"/>
      <c r="R349" s="5" t="n"/>
      <c r="S349" s="5" t="n"/>
      <c r="T349" s="6" t="n"/>
      <c r="U349" s="6" t="n"/>
      <c r="V349" s="6" t="n"/>
      <c r="W349" s="6" t="n"/>
      <c r="X349" s="6" t="n"/>
      <c r="Y349" s="6" t="n"/>
    </row>
    <row r="350" ht="22" customHeight="1">
      <c r="A350" s="5" t="n"/>
      <c r="B350" s="6" t="n"/>
      <c r="C350" s="5" t="n"/>
      <c r="D350" s="5" t="n"/>
      <c r="E350" s="5" t="n"/>
      <c r="F350" s="6" t="n"/>
      <c r="G350" s="6" t="n"/>
      <c r="H350" s="7">
        <f>IF(AND(F350="",G350=""),"", "Risk of """ &amp; F350 &amp; """ because of """ &amp; SUBSTITUTE(G350, ", ", """ and """) &amp; """")</f>
        <v/>
      </c>
      <c r="I350" s="5" t="n"/>
      <c r="J350" s="5" t="n"/>
      <c r="K350" s="5" t="n"/>
      <c r="L350" s="8">
        <f>IF(E350="Confidential", 4, IF(E350="Sensitive", 3, IF(E350="Private", 2, IF(E350="Public", 1, ""))))</f>
        <v/>
      </c>
      <c r="M350" s="5" t="n"/>
      <c r="N350" s="8">
        <f>IF(OR(L350="",M350=""), "", L350*M350)</f>
        <v/>
      </c>
      <c r="O350" s="8">
        <f>IF(N350="","", IF(N350&gt;6, "High", IF(N350&gt;=4, "Medium", "Low")))</f>
        <v/>
      </c>
      <c r="P350" s="6" t="n"/>
      <c r="Q350" s="5" t="n"/>
      <c r="R350" s="5" t="n"/>
      <c r="S350" s="5" t="n"/>
      <c r="T350" s="6" t="n"/>
      <c r="U350" s="6" t="n"/>
      <c r="V350" s="6" t="n"/>
      <c r="W350" s="6" t="n"/>
      <c r="X350" s="6" t="n"/>
      <c r="Y350" s="6" t="n"/>
    </row>
    <row r="351" ht="22" customHeight="1">
      <c r="A351" s="5" t="n"/>
      <c r="B351" s="6" t="n"/>
      <c r="C351" s="5" t="n"/>
      <c r="D351" s="5" t="n"/>
      <c r="E351" s="5" t="n"/>
      <c r="F351" s="6" t="n"/>
      <c r="G351" s="6" t="n"/>
      <c r="H351" s="7">
        <f>IF(AND(F351="",G351=""),"", "Risk of """ &amp; F351 &amp; """ because of """ &amp; SUBSTITUTE(G351, ", ", """ and """) &amp; """")</f>
        <v/>
      </c>
      <c r="I351" s="5" t="n"/>
      <c r="J351" s="5" t="n"/>
      <c r="K351" s="5" t="n"/>
      <c r="L351" s="8">
        <f>IF(E351="Confidential", 4, IF(E351="Sensitive", 3, IF(E351="Private", 2, IF(E351="Public", 1, ""))))</f>
        <v/>
      </c>
      <c r="M351" s="5" t="n"/>
      <c r="N351" s="8">
        <f>IF(OR(L351="",M351=""), "", L351*M351)</f>
        <v/>
      </c>
      <c r="O351" s="8">
        <f>IF(N351="","", IF(N351&gt;6, "High", IF(N351&gt;=4, "Medium", "Low")))</f>
        <v/>
      </c>
      <c r="P351" s="6" t="n"/>
      <c r="Q351" s="5" t="n"/>
      <c r="R351" s="5" t="n"/>
      <c r="S351" s="5" t="n"/>
      <c r="T351" s="6" t="n"/>
      <c r="U351" s="6" t="n"/>
      <c r="V351" s="6" t="n"/>
      <c r="W351" s="6" t="n"/>
      <c r="X351" s="6" t="n"/>
      <c r="Y351" s="6" t="n"/>
    </row>
    <row r="352" ht="22" customHeight="1">
      <c r="A352" s="5" t="n"/>
      <c r="B352" s="6" t="n"/>
      <c r="C352" s="5" t="n"/>
      <c r="D352" s="5" t="n"/>
      <c r="E352" s="5" t="n"/>
      <c r="F352" s="6" t="n"/>
      <c r="G352" s="6" t="n"/>
      <c r="H352" s="7">
        <f>IF(AND(F352="",G352=""),"", "Risk of """ &amp; F352 &amp; """ because of """ &amp; SUBSTITUTE(G352, ", ", """ and """) &amp; """")</f>
        <v/>
      </c>
      <c r="I352" s="5" t="n"/>
      <c r="J352" s="5" t="n"/>
      <c r="K352" s="5" t="n"/>
      <c r="L352" s="8">
        <f>IF(E352="Confidential", 4, IF(E352="Sensitive", 3, IF(E352="Private", 2, IF(E352="Public", 1, ""))))</f>
        <v/>
      </c>
      <c r="M352" s="5" t="n"/>
      <c r="N352" s="8">
        <f>IF(OR(L352="",M352=""), "", L352*M352)</f>
        <v/>
      </c>
      <c r="O352" s="8">
        <f>IF(N352="","", IF(N352&gt;6, "High", IF(N352&gt;=4, "Medium", "Low")))</f>
        <v/>
      </c>
      <c r="P352" s="6" t="n"/>
      <c r="Q352" s="5" t="n"/>
      <c r="R352" s="5" t="n"/>
      <c r="S352" s="5" t="n"/>
      <c r="T352" s="6" t="n"/>
      <c r="U352" s="6" t="n"/>
      <c r="V352" s="6" t="n"/>
      <c r="W352" s="6" t="n"/>
      <c r="X352" s="6" t="n"/>
      <c r="Y352" s="6" t="n"/>
    </row>
    <row r="353" ht="22" customHeight="1">
      <c r="A353" s="5" t="n"/>
      <c r="B353" s="6" t="n"/>
      <c r="C353" s="5" t="n"/>
      <c r="D353" s="5" t="n"/>
      <c r="E353" s="5" t="n"/>
      <c r="F353" s="6" t="n"/>
      <c r="G353" s="6" t="n"/>
      <c r="H353" s="7">
        <f>IF(AND(F353="",G353=""),"", "Risk of """ &amp; F353 &amp; """ because of """ &amp; SUBSTITUTE(G353, ", ", """ and """) &amp; """")</f>
        <v/>
      </c>
      <c r="I353" s="5" t="n"/>
      <c r="J353" s="5" t="n"/>
      <c r="K353" s="5" t="n"/>
      <c r="L353" s="8">
        <f>IF(E353="Confidential", 4, IF(E353="Sensitive", 3, IF(E353="Private", 2, IF(E353="Public", 1, ""))))</f>
        <v/>
      </c>
      <c r="M353" s="5" t="n"/>
      <c r="N353" s="8">
        <f>IF(OR(L353="",M353=""), "", L353*M353)</f>
        <v/>
      </c>
      <c r="O353" s="8">
        <f>IF(N353="","", IF(N353&gt;6, "High", IF(N353&gt;=4, "Medium", "Low")))</f>
        <v/>
      </c>
      <c r="P353" s="6" t="n"/>
      <c r="Q353" s="5" t="n"/>
      <c r="R353" s="5" t="n"/>
      <c r="S353" s="5" t="n"/>
      <c r="T353" s="6" t="n"/>
      <c r="U353" s="6" t="n"/>
      <c r="V353" s="6" t="n"/>
      <c r="W353" s="6" t="n"/>
      <c r="X353" s="6" t="n"/>
      <c r="Y353" s="6" t="n"/>
    </row>
    <row r="354" ht="22" customHeight="1">
      <c r="A354" s="5" t="n"/>
      <c r="B354" s="6" t="n"/>
      <c r="C354" s="5" t="n"/>
      <c r="D354" s="5" t="n"/>
      <c r="E354" s="5" t="n"/>
      <c r="F354" s="6" t="n"/>
      <c r="G354" s="6" t="n"/>
      <c r="H354" s="7">
        <f>IF(AND(F354="",G354=""),"", "Risk of """ &amp; F354 &amp; """ because of """ &amp; SUBSTITUTE(G354, ", ", """ and """) &amp; """")</f>
        <v/>
      </c>
      <c r="I354" s="5" t="n"/>
      <c r="J354" s="5" t="n"/>
      <c r="K354" s="5" t="n"/>
      <c r="L354" s="8">
        <f>IF(E354="Confidential", 4, IF(E354="Sensitive", 3, IF(E354="Private", 2, IF(E354="Public", 1, ""))))</f>
        <v/>
      </c>
      <c r="M354" s="5" t="n"/>
      <c r="N354" s="8">
        <f>IF(OR(L354="",M354=""), "", L354*M354)</f>
        <v/>
      </c>
      <c r="O354" s="8">
        <f>IF(N354="","", IF(N354&gt;6, "High", IF(N354&gt;=4, "Medium", "Low")))</f>
        <v/>
      </c>
      <c r="P354" s="6" t="n"/>
      <c r="Q354" s="5" t="n"/>
      <c r="R354" s="5" t="n"/>
      <c r="S354" s="5" t="n"/>
      <c r="T354" s="6" t="n"/>
      <c r="U354" s="6" t="n"/>
      <c r="V354" s="6" t="n"/>
      <c r="W354" s="6" t="n"/>
      <c r="X354" s="6" t="n"/>
      <c r="Y354" s="6" t="n"/>
    </row>
    <row r="355" ht="22" customHeight="1">
      <c r="A355" s="5" t="n"/>
      <c r="B355" s="6" t="n"/>
      <c r="C355" s="5" t="n"/>
      <c r="D355" s="5" t="n"/>
      <c r="E355" s="5" t="n"/>
      <c r="F355" s="6" t="n"/>
      <c r="G355" s="6" t="n"/>
      <c r="H355" s="7">
        <f>IF(AND(F355="",G355=""),"", "Risk of """ &amp; F355 &amp; """ because of """ &amp; SUBSTITUTE(G355, ", ", """ and """) &amp; """")</f>
        <v/>
      </c>
      <c r="I355" s="5" t="n"/>
      <c r="J355" s="5" t="n"/>
      <c r="K355" s="5" t="n"/>
      <c r="L355" s="8">
        <f>IF(E355="Confidential", 4, IF(E355="Sensitive", 3, IF(E355="Private", 2, IF(E355="Public", 1, ""))))</f>
        <v/>
      </c>
      <c r="M355" s="5" t="n"/>
      <c r="N355" s="8">
        <f>IF(OR(L355="",M355=""), "", L355*M355)</f>
        <v/>
      </c>
      <c r="O355" s="8">
        <f>IF(N355="","", IF(N355&gt;6, "High", IF(N355&gt;=4, "Medium", "Low")))</f>
        <v/>
      </c>
      <c r="P355" s="6" t="n"/>
      <c r="Q355" s="5" t="n"/>
      <c r="R355" s="5" t="n"/>
      <c r="S355" s="5" t="n"/>
      <c r="T355" s="6" t="n"/>
      <c r="U355" s="6" t="n"/>
      <c r="V355" s="6" t="n"/>
      <c r="W355" s="6" t="n"/>
      <c r="X355" s="6" t="n"/>
      <c r="Y355" s="6" t="n"/>
    </row>
    <row r="356" ht="22" customHeight="1">
      <c r="A356" s="5" t="n"/>
      <c r="B356" s="6" t="n"/>
      <c r="C356" s="5" t="n"/>
      <c r="D356" s="5" t="n"/>
      <c r="E356" s="5" t="n"/>
      <c r="F356" s="6" t="n"/>
      <c r="G356" s="6" t="n"/>
      <c r="H356" s="7">
        <f>IF(AND(F356="",G356=""),"", "Risk of """ &amp; F356 &amp; """ because of """ &amp; SUBSTITUTE(G356, ", ", """ and """) &amp; """")</f>
        <v/>
      </c>
      <c r="I356" s="5" t="n"/>
      <c r="J356" s="5" t="n"/>
      <c r="K356" s="5" t="n"/>
      <c r="L356" s="8">
        <f>IF(E356="Confidential", 4, IF(E356="Sensitive", 3, IF(E356="Private", 2, IF(E356="Public", 1, ""))))</f>
        <v/>
      </c>
      <c r="M356" s="5" t="n"/>
      <c r="N356" s="8">
        <f>IF(OR(L356="",M356=""), "", L356*M356)</f>
        <v/>
      </c>
      <c r="O356" s="8">
        <f>IF(N356="","", IF(N356&gt;6, "High", IF(N356&gt;=4, "Medium", "Low")))</f>
        <v/>
      </c>
      <c r="P356" s="6" t="n"/>
      <c r="Q356" s="5" t="n"/>
      <c r="R356" s="5" t="n"/>
      <c r="S356" s="5" t="n"/>
      <c r="T356" s="6" t="n"/>
      <c r="U356" s="6" t="n"/>
      <c r="V356" s="6" t="n"/>
      <c r="W356" s="6" t="n"/>
      <c r="X356" s="6" t="n"/>
      <c r="Y356" s="6" t="n"/>
    </row>
    <row r="357" ht="22" customHeight="1">
      <c r="A357" s="5" t="n"/>
      <c r="B357" s="6" t="n"/>
      <c r="C357" s="5" t="n"/>
      <c r="D357" s="5" t="n"/>
      <c r="E357" s="5" t="n"/>
      <c r="F357" s="6" t="n"/>
      <c r="G357" s="6" t="n"/>
      <c r="H357" s="7">
        <f>IF(AND(F357="",G357=""),"", "Risk of """ &amp; F357 &amp; """ because of """ &amp; SUBSTITUTE(G357, ", ", """ and """) &amp; """")</f>
        <v/>
      </c>
      <c r="I357" s="5" t="n"/>
      <c r="J357" s="5" t="n"/>
      <c r="K357" s="5" t="n"/>
      <c r="L357" s="8">
        <f>IF(E357="Confidential", 4, IF(E357="Sensitive", 3, IF(E357="Private", 2, IF(E357="Public", 1, ""))))</f>
        <v/>
      </c>
      <c r="M357" s="5" t="n"/>
      <c r="N357" s="8">
        <f>IF(OR(L357="",M357=""), "", L357*M357)</f>
        <v/>
      </c>
      <c r="O357" s="8">
        <f>IF(N357="","", IF(N357&gt;6, "High", IF(N357&gt;=4, "Medium", "Low")))</f>
        <v/>
      </c>
      <c r="P357" s="6" t="n"/>
      <c r="Q357" s="5" t="n"/>
      <c r="R357" s="5" t="n"/>
      <c r="S357" s="5" t="n"/>
      <c r="T357" s="6" t="n"/>
      <c r="U357" s="6" t="n"/>
      <c r="V357" s="6" t="n"/>
      <c r="W357" s="6" t="n"/>
      <c r="X357" s="6" t="n"/>
      <c r="Y357" s="6" t="n"/>
    </row>
    <row r="358" ht="22" customHeight="1">
      <c r="A358" s="5" t="n"/>
      <c r="B358" s="6" t="n"/>
      <c r="C358" s="5" t="n"/>
      <c r="D358" s="5" t="n"/>
      <c r="E358" s="5" t="n"/>
      <c r="F358" s="6" t="n"/>
      <c r="G358" s="6" t="n"/>
      <c r="H358" s="7">
        <f>IF(AND(F358="",G358=""),"", "Risk of """ &amp; F358 &amp; """ because of """ &amp; SUBSTITUTE(G358, ", ", """ and """) &amp; """")</f>
        <v/>
      </c>
      <c r="I358" s="5" t="n"/>
      <c r="J358" s="5" t="n"/>
      <c r="K358" s="5" t="n"/>
      <c r="L358" s="8">
        <f>IF(E358="Confidential", 4, IF(E358="Sensitive", 3, IF(E358="Private", 2, IF(E358="Public", 1, ""))))</f>
        <v/>
      </c>
      <c r="M358" s="5" t="n"/>
      <c r="N358" s="8">
        <f>IF(OR(L358="",M358=""), "", L358*M358)</f>
        <v/>
      </c>
      <c r="O358" s="8">
        <f>IF(N358="","", IF(N358&gt;6, "High", IF(N358&gt;=4, "Medium", "Low")))</f>
        <v/>
      </c>
      <c r="P358" s="6" t="n"/>
      <c r="Q358" s="5" t="n"/>
      <c r="R358" s="5" t="n"/>
      <c r="S358" s="5" t="n"/>
      <c r="T358" s="6" t="n"/>
      <c r="U358" s="6" t="n"/>
      <c r="V358" s="6" t="n"/>
      <c r="W358" s="6" t="n"/>
      <c r="X358" s="6" t="n"/>
      <c r="Y358" s="6" t="n"/>
    </row>
    <row r="359" ht="22" customHeight="1">
      <c r="A359" s="5" t="n"/>
      <c r="B359" s="6" t="n"/>
      <c r="C359" s="5" t="n"/>
      <c r="D359" s="5" t="n"/>
      <c r="E359" s="5" t="n"/>
      <c r="F359" s="6" t="n"/>
      <c r="G359" s="6" t="n"/>
      <c r="H359" s="7">
        <f>IF(AND(F359="",G359=""),"", "Risk of """ &amp; F359 &amp; """ because of """ &amp; SUBSTITUTE(G359, ", ", """ and """) &amp; """")</f>
        <v/>
      </c>
      <c r="I359" s="5" t="n"/>
      <c r="J359" s="5" t="n"/>
      <c r="K359" s="5" t="n"/>
      <c r="L359" s="8">
        <f>IF(E359="Confidential", 4, IF(E359="Sensitive", 3, IF(E359="Private", 2, IF(E359="Public", 1, ""))))</f>
        <v/>
      </c>
      <c r="M359" s="5" t="n"/>
      <c r="N359" s="8">
        <f>IF(OR(L359="",M359=""), "", L359*M359)</f>
        <v/>
      </c>
      <c r="O359" s="8">
        <f>IF(N359="","", IF(N359&gt;6, "High", IF(N359&gt;=4, "Medium", "Low")))</f>
        <v/>
      </c>
      <c r="P359" s="6" t="n"/>
      <c r="Q359" s="5" t="n"/>
      <c r="R359" s="5" t="n"/>
      <c r="S359" s="5" t="n"/>
      <c r="T359" s="6" t="n"/>
      <c r="U359" s="6" t="n"/>
      <c r="V359" s="6" t="n"/>
      <c r="W359" s="6" t="n"/>
      <c r="X359" s="6" t="n"/>
      <c r="Y359" s="6" t="n"/>
    </row>
    <row r="360" ht="22" customHeight="1">
      <c r="A360" s="5" t="n"/>
      <c r="B360" s="6" t="n"/>
      <c r="C360" s="5" t="n"/>
      <c r="D360" s="5" t="n"/>
      <c r="E360" s="5" t="n"/>
      <c r="F360" s="6" t="n"/>
      <c r="G360" s="6" t="n"/>
      <c r="H360" s="7">
        <f>IF(AND(F360="",G360=""),"", "Risk of """ &amp; F360 &amp; """ because of """ &amp; SUBSTITUTE(G360, ", ", """ and """) &amp; """")</f>
        <v/>
      </c>
      <c r="I360" s="5" t="n"/>
      <c r="J360" s="5" t="n"/>
      <c r="K360" s="5" t="n"/>
      <c r="L360" s="8">
        <f>IF(E360="Confidential", 4, IF(E360="Sensitive", 3, IF(E360="Private", 2, IF(E360="Public", 1, ""))))</f>
        <v/>
      </c>
      <c r="M360" s="5" t="n"/>
      <c r="N360" s="8">
        <f>IF(OR(L360="",M360=""), "", L360*M360)</f>
        <v/>
      </c>
      <c r="O360" s="8">
        <f>IF(N360="","", IF(N360&gt;6, "High", IF(N360&gt;=4, "Medium", "Low")))</f>
        <v/>
      </c>
      <c r="P360" s="6" t="n"/>
      <c r="Q360" s="5" t="n"/>
      <c r="R360" s="5" t="n"/>
      <c r="S360" s="5" t="n"/>
      <c r="T360" s="6" t="n"/>
      <c r="U360" s="6" t="n"/>
      <c r="V360" s="6" t="n"/>
      <c r="W360" s="6" t="n"/>
      <c r="X360" s="6" t="n"/>
      <c r="Y360" s="6" t="n"/>
    </row>
    <row r="361" ht="22" customHeight="1">
      <c r="A361" s="5" t="n"/>
      <c r="B361" s="6" t="n"/>
      <c r="C361" s="5" t="n"/>
      <c r="D361" s="5" t="n"/>
      <c r="E361" s="5" t="n"/>
      <c r="F361" s="6" t="n"/>
      <c r="G361" s="6" t="n"/>
      <c r="H361" s="7">
        <f>IF(AND(F361="",G361=""),"", "Risk of """ &amp; F361 &amp; """ because of """ &amp; SUBSTITUTE(G361, ", ", """ and """) &amp; """")</f>
        <v/>
      </c>
      <c r="I361" s="5" t="n"/>
      <c r="J361" s="5" t="n"/>
      <c r="K361" s="5" t="n"/>
      <c r="L361" s="8">
        <f>IF(E361="Confidential", 4, IF(E361="Sensitive", 3, IF(E361="Private", 2, IF(E361="Public", 1, ""))))</f>
        <v/>
      </c>
      <c r="M361" s="5" t="n"/>
      <c r="N361" s="8">
        <f>IF(OR(L361="",M361=""), "", L361*M361)</f>
        <v/>
      </c>
      <c r="O361" s="8">
        <f>IF(N361="","", IF(N361&gt;6, "High", IF(N361&gt;=4, "Medium", "Low")))</f>
        <v/>
      </c>
      <c r="P361" s="6" t="n"/>
      <c r="Q361" s="5" t="n"/>
      <c r="R361" s="5" t="n"/>
      <c r="S361" s="5" t="n"/>
      <c r="T361" s="6" t="n"/>
      <c r="U361" s="6" t="n"/>
      <c r="V361" s="6" t="n"/>
      <c r="W361" s="6" t="n"/>
      <c r="X361" s="6" t="n"/>
      <c r="Y361" s="6" t="n"/>
    </row>
    <row r="362" ht="22" customHeight="1">
      <c r="A362" s="5" t="n"/>
      <c r="B362" s="6" t="n"/>
      <c r="C362" s="5" t="n"/>
      <c r="D362" s="5" t="n"/>
      <c r="E362" s="5" t="n"/>
      <c r="F362" s="6" t="n"/>
      <c r="G362" s="6" t="n"/>
      <c r="H362" s="7">
        <f>IF(AND(F362="",G362=""),"", "Risk of """ &amp; F362 &amp; """ because of """ &amp; SUBSTITUTE(G362, ", ", """ and """) &amp; """")</f>
        <v/>
      </c>
      <c r="I362" s="5" t="n"/>
      <c r="J362" s="5" t="n"/>
      <c r="K362" s="5" t="n"/>
      <c r="L362" s="8">
        <f>IF(E362="Confidential", 4, IF(E362="Sensitive", 3, IF(E362="Private", 2, IF(E362="Public", 1, ""))))</f>
        <v/>
      </c>
      <c r="M362" s="5" t="n"/>
      <c r="N362" s="8">
        <f>IF(OR(L362="",M362=""), "", L362*M362)</f>
        <v/>
      </c>
      <c r="O362" s="8">
        <f>IF(N362="","", IF(N362&gt;6, "High", IF(N362&gt;=4, "Medium", "Low")))</f>
        <v/>
      </c>
      <c r="P362" s="6" t="n"/>
      <c r="Q362" s="5" t="n"/>
      <c r="R362" s="5" t="n"/>
      <c r="S362" s="5" t="n"/>
      <c r="T362" s="6" t="n"/>
      <c r="U362" s="6" t="n"/>
      <c r="V362" s="6" t="n"/>
      <c r="W362" s="6" t="n"/>
      <c r="X362" s="6" t="n"/>
      <c r="Y362" s="6" t="n"/>
    </row>
    <row r="363" ht="22" customHeight="1">
      <c r="A363" s="5" t="n"/>
      <c r="B363" s="6" t="n"/>
      <c r="C363" s="5" t="n"/>
      <c r="D363" s="5" t="n"/>
      <c r="E363" s="5" t="n"/>
      <c r="F363" s="6" t="n"/>
      <c r="G363" s="6" t="n"/>
      <c r="H363" s="7">
        <f>IF(AND(F363="",G363=""),"", "Risk of """ &amp; F363 &amp; """ because of """ &amp; SUBSTITUTE(G363, ", ", """ and """) &amp; """")</f>
        <v/>
      </c>
      <c r="I363" s="5" t="n"/>
      <c r="J363" s="5" t="n"/>
      <c r="K363" s="5" t="n"/>
      <c r="L363" s="8">
        <f>IF(E363="Confidential", 4, IF(E363="Sensitive", 3, IF(E363="Private", 2, IF(E363="Public", 1, ""))))</f>
        <v/>
      </c>
      <c r="M363" s="5" t="n"/>
      <c r="N363" s="8">
        <f>IF(OR(L363="",M363=""), "", L363*M363)</f>
        <v/>
      </c>
      <c r="O363" s="8">
        <f>IF(N363="","", IF(N363&gt;6, "High", IF(N363&gt;=4, "Medium", "Low")))</f>
        <v/>
      </c>
      <c r="P363" s="6" t="n"/>
      <c r="Q363" s="5" t="n"/>
      <c r="R363" s="5" t="n"/>
      <c r="S363" s="5" t="n"/>
      <c r="T363" s="6" t="n"/>
      <c r="U363" s="6" t="n"/>
      <c r="V363" s="6" t="n"/>
      <c r="W363" s="6" t="n"/>
      <c r="X363" s="6" t="n"/>
      <c r="Y363" s="6" t="n"/>
    </row>
    <row r="364" ht="22" customHeight="1">
      <c r="A364" s="5" t="n"/>
      <c r="B364" s="6" t="n"/>
      <c r="C364" s="5" t="n"/>
      <c r="D364" s="5" t="n"/>
      <c r="E364" s="5" t="n"/>
      <c r="F364" s="6" t="n"/>
      <c r="G364" s="6" t="n"/>
      <c r="H364" s="7">
        <f>IF(AND(F364="",G364=""),"", "Risk of """ &amp; F364 &amp; """ because of """ &amp; SUBSTITUTE(G364, ", ", """ and """) &amp; """")</f>
        <v/>
      </c>
      <c r="I364" s="5" t="n"/>
      <c r="J364" s="5" t="n"/>
      <c r="K364" s="5" t="n"/>
      <c r="L364" s="8">
        <f>IF(E364="Confidential", 4, IF(E364="Sensitive", 3, IF(E364="Private", 2, IF(E364="Public", 1, ""))))</f>
        <v/>
      </c>
      <c r="M364" s="5" t="n"/>
      <c r="N364" s="8">
        <f>IF(OR(L364="",M364=""), "", L364*M364)</f>
        <v/>
      </c>
      <c r="O364" s="8">
        <f>IF(N364="","", IF(N364&gt;6, "High", IF(N364&gt;=4, "Medium", "Low")))</f>
        <v/>
      </c>
      <c r="P364" s="6" t="n"/>
      <c r="Q364" s="5" t="n"/>
      <c r="R364" s="5" t="n"/>
      <c r="S364" s="5" t="n"/>
      <c r="T364" s="6" t="n"/>
      <c r="U364" s="6" t="n"/>
      <c r="V364" s="6" t="n"/>
      <c r="W364" s="6" t="n"/>
      <c r="X364" s="6" t="n"/>
      <c r="Y364" s="6" t="n"/>
    </row>
    <row r="365" ht="22" customHeight="1">
      <c r="A365" s="5" t="n"/>
      <c r="B365" s="6" t="n"/>
      <c r="C365" s="5" t="n"/>
      <c r="D365" s="5" t="n"/>
      <c r="E365" s="5" t="n"/>
      <c r="F365" s="6" t="n"/>
      <c r="G365" s="6" t="n"/>
      <c r="H365" s="7">
        <f>IF(AND(F365="",G365=""),"", "Risk of """ &amp; F365 &amp; """ because of """ &amp; SUBSTITUTE(G365, ", ", """ and """) &amp; """")</f>
        <v/>
      </c>
      <c r="I365" s="5" t="n"/>
      <c r="J365" s="5" t="n"/>
      <c r="K365" s="5" t="n"/>
      <c r="L365" s="8">
        <f>IF(E365="Confidential", 4, IF(E365="Sensitive", 3, IF(E365="Private", 2, IF(E365="Public", 1, ""))))</f>
        <v/>
      </c>
      <c r="M365" s="5" t="n"/>
      <c r="N365" s="8">
        <f>IF(OR(L365="",M365=""), "", L365*M365)</f>
        <v/>
      </c>
      <c r="O365" s="8">
        <f>IF(N365="","", IF(N365&gt;6, "High", IF(N365&gt;=4, "Medium", "Low")))</f>
        <v/>
      </c>
      <c r="P365" s="6" t="n"/>
      <c r="Q365" s="5" t="n"/>
      <c r="R365" s="5" t="n"/>
      <c r="S365" s="5" t="n"/>
      <c r="T365" s="6" t="n"/>
      <c r="U365" s="6" t="n"/>
      <c r="V365" s="6" t="n"/>
      <c r="W365" s="6" t="n"/>
      <c r="X365" s="6" t="n"/>
      <c r="Y365" s="6" t="n"/>
    </row>
    <row r="366" ht="22" customHeight="1">
      <c r="A366" s="5" t="n"/>
      <c r="B366" s="6" t="n"/>
      <c r="C366" s="5" t="n"/>
      <c r="D366" s="5" t="n"/>
      <c r="E366" s="5" t="n"/>
      <c r="F366" s="6" t="n"/>
      <c r="G366" s="6" t="n"/>
      <c r="H366" s="7">
        <f>IF(AND(F366="",G366=""),"", "Risk of """ &amp; F366 &amp; """ because of """ &amp; SUBSTITUTE(G366, ", ", """ and """) &amp; """")</f>
        <v/>
      </c>
      <c r="I366" s="5" t="n"/>
      <c r="J366" s="5" t="n"/>
      <c r="K366" s="5" t="n"/>
      <c r="L366" s="8">
        <f>IF(E366="Confidential", 4, IF(E366="Sensitive", 3, IF(E366="Private", 2, IF(E366="Public", 1, ""))))</f>
        <v/>
      </c>
      <c r="M366" s="5" t="n"/>
      <c r="N366" s="8">
        <f>IF(OR(L366="",M366=""), "", L366*M366)</f>
        <v/>
      </c>
      <c r="O366" s="8">
        <f>IF(N366="","", IF(N366&gt;6, "High", IF(N366&gt;=4, "Medium", "Low")))</f>
        <v/>
      </c>
      <c r="P366" s="6" t="n"/>
      <c r="Q366" s="5" t="n"/>
      <c r="R366" s="5" t="n"/>
      <c r="S366" s="5" t="n"/>
      <c r="T366" s="6" t="n"/>
      <c r="U366" s="6" t="n"/>
      <c r="V366" s="6" t="n"/>
      <c r="W366" s="6" t="n"/>
      <c r="X366" s="6" t="n"/>
      <c r="Y366" s="6" t="n"/>
    </row>
    <row r="367" ht="22" customHeight="1">
      <c r="A367" s="5" t="n"/>
      <c r="B367" s="6" t="n"/>
      <c r="C367" s="5" t="n"/>
      <c r="D367" s="5" t="n"/>
      <c r="E367" s="5" t="n"/>
      <c r="F367" s="6" t="n"/>
      <c r="G367" s="6" t="n"/>
      <c r="H367" s="7">
        <f>IF(AND(F367="",G367=""),"", "Risk of """ &amp; F367 &amp; """ because of """ &amp; SUBSTITUTE(G367, ", ", """ and """) &amp; """")</f>
        <v/>
      </c>
      <c r="I367" s="5" t="n"/>
      <c r="J367" s="5" t="n"/>
      <c r="K367" s="5" t="n"/>
      <c r="L367" s="8">
        <f>IF(E367="Confidential", 4, IF(E367="Sensitive", 3, IF(E367="Private", 2, IF(E367="Public", 1, ""))))</f>
        <v/>
      </c>
      <c r="M367" s="5" t="n"/>
      <c r="N367" s="8">
        <f>IF(OR(L367="",M367=""), "", L367*M367)</f>
        <v/>
      </c>
      <c r="O367" s="8">
        <f>IF(N367="","", IF(N367&gt;6, "High", IF(N367&gt;=4, "Medium", "Low")))</f>
        <v/>
      </c>
      <c r="P367" s="6" t="n"/>
      <c r="Q367" s="5" t="n"/>
      <c r="R367" s="5" t="n"/>
      <c r="S367" s="5" t="n"/>
      <c r="T367" s="6" t="n"/>
      <c r="U367" s="6" t="n"/>
      <c r="V367" s="6" t="n"/>
      <c r="W367" s="6" t="n"/>
      <c r="X367" s="6" t="n"/>
      <c r="Y367" s="6" t="n"/>
    </row>
    <row r="368" ht="22" customHeight="1">
      <c r="A368" s="5" t="n"/>
      <c r="B368" s="6" t="n"/>
      <c r="C368" s="5" t="n"/>
      <c r="D368" s="5" t="n"/>
      <c r="E368" s="5" t="n"/>
      <c r="F368" s="6" t="n"/>
      <c r="G368" s="6" t="n"/>
      <c r="H368" s="7">
        <f>IF(AND(F368="",G368=""),"", "Risk of """ &amp; F368 &amp; """ because of """ &amp; SUBSTITUTE(G368, ", ", """ and """) &amp; """")</f>
        <v/>
      </c>
      <c r="I368" s="5" t="n"/>
      <c r="J368" s="5" t="n"/>
      <c r="K368" s="5" t="n"/>
      <c r="L368" s="8">
        <f>IF(E368="Confidential", 4, IF(E368="Sensitive", 3, IF(E368="Private", 2, IF(E368="Public", 1, ""))))</f>
        <v/>
      </c>
      <c r="M368" s="5" t="n"/>
      <c r="N368" s="8">
        <f>IF(OR(L368="",M368=""), "", L368*M368)</f>
        <v/>
      </c>
      <c r="O368" s="8">
        <f>IF(N368="","", IF(N368&gt;6, "High", IF(N368&gt;=4, "Medium", "Low")))</f>
        <v/>
      </c>
      <c r="P368" s="6" t="n"/>
      <c r="Q368" s="5" t="n"/>
      <c r="R368" s="5" t="n"/>
      <c r="S368" s="5" t="n"/>
      <c r="T368" s="6" t="n"/>
      <c r="U368" s="6" t="n"/>
      <c r="V368" s="6" t="n"/>
      <c r="W368" s="6" t="n"/>
      <c r="X368" s="6" t="n"/>
      <c r="Y368" s="6" t="n"/>
    </row>
    <row r="369" ht="22" customHeight="1">
      <c r="A369" s="5" t="n"/>
      <c r="B369" s="6" t="n"/>
      <c r="C369" s="5" t="n"/>
      <c r="D369" s="5" t="n"/>
      <c r="E369" s="5" t="n"/>
      <c r="F369" s="6" t="n"/>
      <c r="G369" s="6" t="n"/>
      <c r="H369" s="7">
        <f>IF(AND(F369="",G369=""),"", "Risk of """ &amp; F369 &amp; """ because of """ &amp; SUBSTITUTE(G369, ", ", """ and """) &amp; """")</f>
        <v/>
      </c>
      <c r="I369" s="5" t="n"/>
      <c r="J369" s="5" t="n"/>
      <c r="K369" s="5" t="n"/>
      <c r="L369" s="8">
        <f>IF(E369="Confidential", 4, IF(E369="Sensitive", 3, IF(E369="Private", 2, IF(E369="Public", 1, ""))))</f>
        <v/>
      </c>
      <c r="M369" s="5" t="n"/>
      <c r="N369" s="8">
        <f>IF(OR(L369="",M369=""), "", L369*M369)</f>
        <v/>
      </c>
      <c r="O369" s="8">
        <f>IF(N369="","", IF(N369&gt;6, "High", IF(N369&gt;=4, "Medium", "Low")))</f>
        <v/>
      </c>
      <c r="P369" s="6" t="n"/>
      <c r="Q369" s="5" t="n"/>
      <c r="R369" s="5" t="n"/>
      <c r="S369" s="5" t="n"/>
      <c r="T369" s="6" t="n"/>
      <c r="U369" s="6" t="n"/>
      <c r="V369" s="6" t="n"/>
      <c r="W369" s="6" t="n"/>
      <c r="X369" s="6" t="n"/>
      <c r="Y369" s="6" t="n"/>
    </row>
    <row r="370" ht="22" customHeight="1">
      <c r="A370" s="5" t="n"/>
      <c r="B370" s="6" t="n"/>
      <c r="C370" s="5" t="n"/>
      <c r="D370" s="5" t="n"/>
      <c r="E370" s="5" t="n"/>
      <c r="F370" s="6" t="n"/>
      <c r="G370" s="6" t="n"/>
      <c r="H370" s="7">
        <f>IF(AND(F370="",G370=""),"", "Risk of """ &amp; F370 &amp; """ because of """ &amp; SUBSTITUTE(G370, ", ", """ and """) &amp; """")</f>
        <v/>
      </c>
      <c r="I370" s="5" t="n"/>
      <c r="J370" s="5" t="n"/>
      <c r="K370" s="5" t="n"/>
      <c r="L370" s="8">
        <f>IF(E370="Confidential", 4, IF(E370="Sensitive", 3, IF(E370="Private", 2, IF(E370="Public", 1, ""))))</f>
        <v/>
      </c>
      <c r="M370" s="5" t="n"/>
      <c r="N370" s="8">
        <f>IF(OR(L370="",M370=""), "", L370*M370)</f>
        <v/>
      </c>
      <c r="O370" s="8">
        <f>IF(N370="","", IF(N370&gt;6, "High", IF(N370&gt;=4, "Medium", "Low")))</f>
        <v/>
      </c>
      <c r="P370" s="6" t="n"/>
      <c r="Q370" s="5" t="n"/>
      <c r="R370" s="5" t="n"/>
      <c r="S370" s="5" t="n"/>
      <c r="T370" s="6" t="n"/>
      <c r="U370" s="6" t="n"/>
      <c r="V370" s="6" t="n"/>
      <c r="W370" s="6" t="n"/>
      <c r="X370" s="6" t="n"/>
      <c r="Y370" s="6" t="n"/>
    </row>
    <row r="371" ht="22" customHeight="1">
      <c r="A371" s="5" t="n"/>
      <c r="B371" s="6" t="n"/>
      <c r="C371" s="5" t="n"/>
      <c r="D371" s="5" t="n"/>
      <c r="E371" s="5" t="n"/>
      <c r="F371" s="6" t="n"/>
      <c r="G371" s="6" t="n"/>
      <c r="H371" s="7">
        <f>IF(AND(F371="",G371=""),"", "Risk of """ &amp; F371 &amp; """ because of """ &amp; SUBSTITUTE(G371, ", ", """ and """) &amp; """")</f>
        <v/>
      </c>
      <c r="I371" s="5" t="n"/>
      <c r="J371" s="5" t="n"/>
      <c r="K371" s="5" t="n"/>
      <c r="L371" s="8">
        <f>IF(E371="Confidential", 4, IF(E371="Sensitive", 3, IF(E371="Private", 2, IF(E371="Public", 1, ""))))</f>
        <v/>
      </c>
      <c r="M371" s="5" t="n"/>
      <c r="N371" s="8">
        <f>IF(OR(L371="",M371=""), "", L371*M371)</f>
        <v/>
      </c>
      <c r="O371" s="8">
        <f>IF(N371="","", IF(N371&gt;6, "High", IF(N371&gt;=4, "Medium", "Low")))</f>
        <v/>
      </c>
      <c r="P371" s="6" t="n"/>
      <c r="Q371" s="5" t="n"/>
      <c r="R371" s="5" t="n"/>
      <c r="S371" s="5" t="n"/>
      <c r="T371" s="6" t="n"/>
      <c r="U371" s="6" t="n"/>
      <c r="V371" s="6" t="n"/>
      <c r="W371" s="6" t="n"/>
      <c r="X371" s="6" t="n"/>
      <c r="Y371" s="6" t="n"/>
    </row>
    <row r="372" ht="22" customHeight="1">
      <c r="A372" s="5" t="n"/>
      <c r="B372" s="6" t="n"/>
      <c r="C372" s="5" t="n"/>
      <c r="D372" s="5" t="n"/>
      <c r="E372" s="5" t="n"/>
      <c r="F372" s="6" t="n"/>
      <c r="G372" s="6" t="n"/>
      <c r="H372" s="7">
        <f>IF(AND(F372="",G372=""),"", "Risk of """ &amp; F372 &amp; """ because of """ &amp; SUBSTITUTE(G372, ", ", """ and """) &amp; """")</f>
        <v/>
      </c>
      <c r="I372" s="5" t="n"/>
      <c r="J372" s="5" t="n"/>
      <c r="K372" s="5" t="n"/>
      <c r="L372" s="8">
        <f>IF(E372="Confidential", 4, IF(E372="Sensitive", 3, IF(E372="Private", 2, IF(E372="Public", 1, ""))))</f>
        <v/>
      </c>
      <c r="M372" s="5" t="n"/>
      <c r="N372" s="8">
        <f>IF(OR(L372="",M372=""), "", L372*M372)</f>
        <v/>
      </c>
      <c r="O372" s="8">
        <f>IF(N372="","", IF(N372&gt;6, "High", IF(N372&gt;=4, "Medium", "Low")))</f>
        <v/>
      </c>
      <c r="P372" s="6" t="n"/>
      <c r="Q372" s="5" t="n"/>
      <c r="R372" s="5" t="n"/>
      <c r="S372" s="5" t="n"/>
      <c r="T372" s="6" t="n"/>
      <c r="U372" s="6" t="n"/>
      <c r="V372" s="6" t="n"/>
      <c r="W372" s="6" t="n"/>
      <c r="X372" s="6" t="n"/>
      <c r="Y372" s="6" t="n"/>
    </row>
    <row r="373" ht="22" customHeight="1">
      <c r="A373" s="5" t="n"/>
      <c r="B373" s="6" t="n"/>
      <c r="C373" s="5" t="n"/>
      <c r="D373" s="5" t="n"/>
      <c r="E373" s="5" t="n"/>
      <c r="F373" s="6" t="n"/>
      <c r="G373" s="6" t="n"/>
      <c r="H373" s="7">
        <f>IF(AND(F373="",G373=""),"", "Risk of """ &amp; F373 &amp; """ because of """ &amp; SUBSTITUTE(G373, ", ", """ and """) &amp; """")</f>
        <v/>
      </c>
      <c r="I373" s="5" t="n"/>
      <c r="J373" s="5" t="n"/>
      <c r="K373" s="5" t="n"/>
      <c r="L373" s="8">
        <f>IF(E373="Confidential", 4, IF(E373="Sensitive", 3, IF(E373="Private", 2, IF(E373="Public", 1, ""))))</f>
        <v/>
      </c>
      <c r="M373" s="5" t="n"/>
      <c r="N373" s="8">
        <f>IF(OR(L373="",M373=""), "", L373*M373)</f>
        <v/>
      </c>
      <c r="O373" s="8">
        <f>IF(N373="","", IF(N373&gt;6, "High", IF(N373&gt;=4, "Medium", "Low")))</f>
        <v/>
      </c>
      <c r="P373" s="6" t="n"/>
      <c r="Q373" s="5" t="n"/>
      <c r="R373" s="5" t="n"/>
      <c r="S373" s="5" t="n"/>
      <c r="T373" s="6" t="n"/>
      <c r="U373" s="6" t="n"/>
      <c r="V373" s="6" t="n"/>
      <c r="W373" s="6" t="n"/>
      <c r="X373" s="6" t="n"/>
      <c r="Y373" s="6" t="n"/>
    </row>
    <row r="374" ht="22" customHeight="1">
      <c r="A374" s="5" t="n"/>
      <c r="B374" s="6" t="n"/>
      <c r="C374" s="5" t="n"/>
      <c r="D374" s="5" t="n"/>
      <c r="E374" s="5" t="n"/>
      <c r="F374" s="6" t="n"/>
      <c r="G374" s="6" t="n"/>
      <c r="H374" s="7">
        <f>IF(AND(F374="",G374=""),"", "Risk of """ &amp; F374 &amp; """ because of """ &amp; SUBSTITUTE(G374, ", ", """ and """) &amp; """")</f>
        <v/>
      </c>
      <c r="I374" s="5" t="n"/>
      <c r="J374" s="5" t="n"/>
      <c r="K374" s="5" t="n"/>
      <c r="L374" s="8">
        <f>IF(E374="Confidential", 4, IF(E374="Sensitive", 3, IF(E374="Private", 2, IF(E374="Public", 1, ""))))</f>
        <v/>
      </c>
      <c r="M374" s="5" t="n"/>
      <c r="N374" s="8">
        <f>IF(OR(L374="",M374=""), "", L374*M374)</f>
        <v/>
      </c>
      <c r="O374" s="8">
        <f>IF(N374="","", IF(N374&gt;6, "High", IF(N374&gt;=4, "Medium", "Low")))</f>
        <v/>
      </c>
      <c r="P374" s="6" t="n"/>
      <c r="Q374" s="5" t="n"/>
      <c r="R374" s="5" t="n"/>
      <c r="S374" s="5" t="n"/>
      <c r="T374" s="6" t="n"/>
      <c r="U374" s="6" t="n"/>
      <c r="V374" s="6" t="n"/>
      <c r="W374" s="6" t="n"/>
      <c r="X374" s="6" t="n"/>
      <c r="Y374" s="6" t="n"/>
    </row>
    <row r="375" ht="22" customHeight="1">
      <c r="A375" s="5" t="n"/>
      <c r="B375" s="6" t="n"/>
      <c r="C375" s="5" t="n"/>
      <c r="D375" s="5" t="n"/>
      <c r="E375" s="5" t="n"/>
      <c r="F375" s="6" t="n"/>
      <c r="G375" s="6" t="n"/>
      <c r="H375" s="7">
        <f>IF(AND(F375="",G375=""),"", "Risk of """ &amp; F375 &amp; """ because of """ &amp; SUBSTITUTE(G375, ", ", """ and """) &amp; """")</f>
        <v/>
      </c>
      <c r="I375" s="5" t="n"/>
      <c r="J375" s="5" t="n"/>
      <c r="K375" s="5" t="n"/>
      <c r="L375" s="8">
        <f>IF(E375="Confidential", 4, IF(E375="Sensitive", 3, IF(E375="Private", 2, IF(E375="Public", 1, ""))))</f>
        <v/>
      </c>
      <c r="M375" s="5" t="n"/>
      <c r="N375" s="8">
        <f>IF(OR(L375="",M375=""), "", L375*M375)</f>
        <v/>
      </c>
      <c r="O375" s="8">
        <f>IF(N375="","", IF(N375&gt;6, "High", IF(N375&gt;=4, "Medium", "Low")))</f>
        <v/>
      </c>
      <c r="P375" s="6" t="n"/>
      <c r="Q375" s="5" t="n"/>
      <c r="R375" s="5" t="n"/>
      <c r="S375" s="5" t="n"/>
      <c r="T375" s="6" t="n"/>
      <c r="U375" s="6" t="n"/>
      <c r="V375" s="6" t="n"/>
      <c r="W375" s="6" t="n"/>
      <c r="X375" s="6" t="n"/>
      <c r="Y375" s="6" t="n"/>
    </row>
    <row r="376" ht="22" customHeight="1">
      <c r="A376" s="5" t="n"/>
      <c r="B376" s="6" t="n"/>
      <c r="C376" s="5" t="n"/>
      <c r="D376" s="5" t="n"/>
      <c r="E376" s="5" t="n"/>
      <c r="F376" s="6" t="n"/>
      <c r="G376" s="6" t="n"/>
      <c r="H376" s="7">
        <f>IF(AND(F376="",G376=""),"", "Risk of """ &amp; F376 &amp; """ because of """ &amp; SUBSTITUTE(G376, ", ", """ and """) &amp; """")</f>
        <v/>
      </c>
      <c r="I376" s="5" t="n"/>
      <c r="J376" s="5" t="n"/>
      <c r="K376" s="5" t="n"/>
      <c r="L376" s="8">
        <f>IF(E376="Confidential", 4, IF(E376="Sensitive", 3, IF(E376="Private", 2, IF(E376="Public", 1, ""))))</f>
        <v/>
      </c>
      <c r="M376" s="5" t="n"/>
      <c r="N376" s="8">
        <f>IF(OR(L376="",M376=""), "", L376*M376)</f>
        <v/>
      </c>
      <c r="O376" s="8">
        <f>IF(N376="","", IF(N376&gt;6, "High", IF(N376&gt;=4, "Medium", "Low")))</f>
        <v/>
      </c>
      <c r="P376" s="6" t="n"/>
      <c r="Q376" s="5" t="n"/>
      <c r="R376" s="5" t="n"/>
      <c r="S376" s="5" t="n"/>
      <c r="T376" s="6" t="n"/>
      <c r="U376" s="6" t="n"/>
      <c r="V376" s="6" t="n"/>
      <c r="W376" s="6" t="n"/>
      <c r="X376" s="6" t="n"/>
      <c r="Y376" s="6" t="n"/>
    </row>
    <row r="377" ht="22" customHeight="1">
      <c r="A377" s="5" t="n"/>
      <c r="B377" s="6" t="n"/>
      <c r="C377" s="5" t="n"/>
      <c r="D377" s="5" t="n"/>
      <c r="E377" s="5" t="n"/>
      <c r="F377" s="6" t="n"/>
      <c r="G377" s="6" t="n"/>
      <c r="H377" s="7">
        <f>IF(AND(F377="",G377=""),"", "Risk of """ &amp; F377 &amp; """ because of """ &amp; SUBSTITUTE(G377, ", ", """ and """) &amp; """")</f>
        <v/>
      </c>
      <c r="I377" s="5" t="n"/>
      <c r="J377" s="5" t="n"/>
      <c r="K377" s="5" t="n"/>
      <c r="L377" s="8">
        <f>IF(E377="Confidential", 4, IF(E377="Sensitive", 3, IF(E377="Private", 2, IF(E377="Public", 1, ""))))</f>
        <v/>
      </c>
      <c r="M377" s="5" t="n"/>
      <c r="N377" s="8">
        <f>IF(OR(L377="",M377=""), "", L377*M377)</f>
        <v/>
      </c>
      <c r="O377" s="8">
        <f>IF(N377="","", IF(N377&gt;6, "High", IF(N377&gt;=4, "Medium", "Low")))</f>
        <v/>
      </c>
      <c r="P377" s="6" t="n"/>
      <c r="Q377" s="5" t="n"/>
      <c r="R377" s="5" t="n"/>
      <c r="S377" s="5" t="n"/>
      <c r="T377" s="6" t="n"/>
      <c r="U377" s="6" t="n"/>
      <c r="V377" s="6" t="n"/>
      <c r="W377" s="6" t="n"/>
      <c r="X377" s="6" t="n"/>
      <c r="Y377" s="6" t="n"/>
    </row>
    <row r="378" ht="22" customHeight="1">
      <c r="A378" s="5" t="n"/>
      <c r="B378" s="6" t="n"/>
      <c r="C378" s="5" t="n"/>
      <c r="D378" s="5" t="n"/>
      <c r="E378" s="5" t="n"/>
      <c r="F378" s="6" t="n"/>
      <c r="G378" s="6" t="n"/>
      <c r="H378" s="7">
        <f>IF(AND(F378="",G378=""),"", "Risk of """ &amp; F378 &amp; """ because of """ &amp; SUBSTITUTE(G378, ", ", """ and """) &amp; """")</f>
        <v/>
      </c>
      <c r="I378" s="5" t="n"/>
      <c r="J378" s="5" t="n"/>
      <c r="K378" s="5" t="n"/>
      <c r="L378" s="8">
        <f>IF(E378="Confidential", 4, IF(E378="Sensitive", 3, IF(E378="Private", 2, IF(E378="Public", 1, ""))))</f>
        <v/>
      </c>
      <c r="M378" s="5" t="n"/>
      <c r="N378" s="8">
        <f>IF(OR(L378="",M378=""), "", L378*M378)</f>
        <v/>
      </c>
      <c r="O378" s="8">
        <f>IF(N378="","", IF(N378&gt;6, "High", IF(N378&gt;=4, "Medium", "Low")))</f>
        <v/>
      </c>
      <c r="P378" s="6" t="n"/>
      <c r="Q378" s="5" t="n"/>
      <c r="R378" s="5" t="n"/>
      <c r="S378" s="5" t="n"/>
      <c r="T378" s="6" t="n"/>
      <c r="U378" s="6" t="n"/>
      <c r="V378" s="6" t="n"/>
      <c r="W378" s="6" t="n"/>
      <c r="X378" s="6" t="n"/>
      <c r="Y378" s="6" t="n"/>
    </row>
    <row r="379" ht="22" customHeight="1">
      <c r="A379" s="5" t="n"/>
      <c r="B379" s="6" t="n"/>
      <c r="C379" s="5" t="n"/>
      <c r="D379" s="5" t="n"/>
      <c r="E379" s="5" t="n"/>
      <c r="F379" s="6" t="n"/>
      <c r="G379" s="6" t="n"/>
      <c r="H379" s="7">
        <f>IF(AND(F379="",G379=""),"", "Risk of """ &amp; F379 &amp; """ because of """ &amp; SUBSTITUTE(G379, ", ", """ and """) &amp; """")</f>
        <v/>
      </c>
      <c r="I379" s="5" t="n"/>
      <c r="J379" s="5" t="n"/>
      <c r="K379" s="5" t="n"/>
      <c r="L379" s="8">
        <f>IF(E379="Confidential", 4, IF(E379="Sensitive", 3, IF(E379="Private", 2, IF(E379="Public", 1, ""))))</f>
        <v/>
      </c>
      <c r="M379" s="5" t="n"/>
      <c r="N379" s="8">
        <f>IF(OR(L379="",M379=""), "", L379*M379)</f>
        <v/>
      </c>
      <c r="O379" s="8">
        <f>IF(N379="","", IF(N379&gt;6, "High", IF(N379&gt;=4, "Medium", "Low")))</f>
        <v/>
      </c>
      <c r="P379" s="6" t="n"/>
      <c r="Q379" s="5" t="n"/>
      <c r="R379" s="5" t="n"/>
      <c r="S379" s="5" t="n"/>
      <c r="T379" s="6" t="n"/>
      <c r="U379" s="6" t="n"/>
      <c r="V379" s="6" t="n"/>
      <c r="W379" s="6" t="n"/>
      <c r="X379" s="6" t="n"/>
      <c r="Y379" s="6" t="n"/>
    </row>
    <row r="380" ht="22" customHeight="1">
      <c r="A380" s="5" t="n"/>
      <c r="B380" s="6" t="n"/>
      <c r="C380" s="5" t="n"/>
      <c r="D380" s="5" t="n"/>
      <c r="E380" s="5" t="n"/>
      <c r="F380" s="6" t="n"/>
      <c r="G380" s="6" t="n"/>
      <c r="H380" s="7">
        <f>IF(AND(F380="",G380=""),"", "Risk of """ &amp; F380 &amp; """ because of """ &amp; SUBSTITUTE(G380, ", ", """ and """) &amp; """")</f>
        <v/>
      </c>
      <c r="I380" s="5" t="n"/>
      <c r="J380" s="5" t="n"/>
      <c r="K380" s="5" t="n"/>
      <c r="L380" s="8">
        <f>IF(E380="Confidential", 4, IF(E380="Sensitive", 3, IF(E380="Private", 2, IF(E380="Public", 1, ""))))</f>
        <v/>
      </c>
      <c r="M380" s="5" t="n"/>
      <c r="N380" s="8">
        <f>IF(OR(L380="",M380=""), "", L380*M380)</f>
        <v/>
      </c>
      <c r="O380" s="8">
        <f>IF(N380="","", IF(N380&gt;6, "High", IF(N380&gt;=4, "Medium", "Low")))</f>
        <v/>
      </c>
      <c r="P380" s="6" t="n"/>
      <c r="Q380" s="5" t="n"/>
      <c r="R380" s="5" t="n"/>
      <c r="S380" s="5" t="n"/>
      <c r="T380" s="6" t="n"/>
      <c r="U380" s="6" t="n"/>
      <c r="V380" s="6" t="n"/>
      <c r="W380" s="6" t="n"/>
      <c r="X380" s="6" t="n"/>
      <c r="Y380" s="6" t="n"/>
    </row>
    <row r="381" ht="22" customHeight="1">
      <c r="A381" s="5" t="n"/>
      <c r="B381" s="6" t="n"/>
      <c r="C381" s="5" t="n"/>
      <c r="D381" s="5" t="n"/>
      <c r="E381" s="5" t="n"/>
      <c r="F381" s="6" t="n"/>
      <c r="G381" s="6" t="n"/>
      <c r="H381" s="7">
        <f>IF(AND(F381="",G381=""),"", "Risk of """ &amp; F381 &amp; """ because of """ &amp; SUBSTITUTE(G381, ", ", """ and """) &amp; """")</f>
        <v/>
      </c>
      <c r="I381" s="5" t="n"/>
      <c r="J381" s="5" t="n"/>
      <c r="K381" s="5" t="n"/>
      <c r="L381" s="8">
        <f>IF(E381="Confidential", 4, IF(E381="Sensitive", 3, IF(E381="Private", 2, IF(E381="Public", 1, ""))))</f>
        <v/>
      </c>
      <c r="M381" s="5" t="n"/>
      <c r="N381" s="8">
        <f>IF(OR(L381="",M381=""), "", L381*M381)</f>
        <v/>
      </c>
      <c r="O381" s="8">
        <f>IF(N381="","", IF(N381&gt;6, "High", IF(N381&gt;=4, "Medium", "Low")))</f>
        <v/>
      </c>
      <c r="P381" s="6" t="n"/>
      <c r="Q381" s="5" t="n"/>
      <c r="R381" s="5" t="n"/>
      <c r="S381" s="5" t="n"/>
      <c r="T381" s="6" t="n"/>
      <c r="U381" s="6" t="n"/>
      <c r="V381" s="6" t="n"/>
      <c r="W381" s="6" t="n"/>
      <c r="X381" s="6" t="n"/>
      <c r="Y381" s="6" t="n"/>
    </row>
    <row r="382" ht="22" customHeight="1">
      <c r="A382" s="5" t="n"/>
      <c r="B382" s="6" t="n"/>
      <c r="C382" s="5" t="n"/>
      <c r="D382" s="5" t="n"/>
      <c r="E382" s="5" t="n"/>
      <c r="F382" s="6" t="n"/>
      <c r="G382" s="6" t="n"/>
      <c r="H382" s="7">
        <f>IF(AND(F382="",G382=""),"", "Risk of """ &amp; F382 &amp; """ because of """ &amp; SUBSTITUTE(G382, ", ", """ and """) &amp; """")</f>
        <v/>
      </c>
      <c r="I382" s="5" t="n"/>
      <c r="J382" s="5" t="n"/>
      <c r="K382" s="5" t="n"/>
      <c r="L382" s="8">
        <f>IF(E382="Confidential", 4, IF(E382="Sensitive", 3, IF(E382="Private", 2, IF(E382="Public", 1, ""))))</f>
        <v/>
      </c>
      <c r="M382" s="5" t="n"/>
      <c r="N382" s="8">
        <f>IF(OR(L382="",M382=""), "", L382*M382)</f>
        <v/>
      </c>
      <c r="O382" s="8">
        <f>IF(N382="","", IF(N382&gt;6, "High", IF(N382&gt;=4, "Medium", "Low")))</f>
        <v/>
      </c>
      <c r="P382" s="6" t="n"/>
      <c r="Q382" s="5" t="n"/>
      <c r="R382" s="5" t="n"/>
      <c r="S382" s="5" t="n"/>
      <c r="T382" s="6" t="n"/>
      <c r="U382" s="6" t="n"/>
      <c r="V382" s="6" t="n"/>
      <c r="W382" s="6" t="n"/>
      <c r="X382" s="6" t="n"/>
      <c r="Y382" s="6" t="n"/>
    </row>
    <row r="383" ht="22" customHeight="1">
      <c r="A383" s="5" t="n"/>
      <c r="B383" s="6" t="n"/>
      <c r="C383" s="5" t="n"/>
      <c r="D383" s="5" t="n"/>
      <c r="E383" s="5" t="n"/>
      <c r="F383" s="6" t="n"/>
      <c r="G383" s="6" t="n"/>
      <c r="H383" s="7">
        <f>IF(AND(F383="",G383=""),"", "Risk of """ &amp; F383 &amp; """ because of """ &amp; SUBSTITUTE(G383, ", ", """ and """) &amp; """")</f>
        <v/>
      </c>
      <c r="I383" s="5" t="n"/>
      <c r="J383" s="5" t="n"/>
      <c r="K383" s="5" t="n"/>
      <c r="L383" s="8">
        <f>IF(E383="Confidential", 4, IF(E383="Sensitive", 3, IF(E383="Private", 2, IF(E383="Public", 1, ""))))</f>
        <v/>
      </c>
      <c r="M383" s="5" t="n"/>
      <c r="N383" s="8">
        <f>IF(OR(L383="",M383=""), "", L383*M383)</f>
        <v/>
      </c>
      <c r="O383" s="8">
        <f>IF(N383="","", IF(N383&gt;6, "High", IF(N383&gt;=4, "Medium", "Low")))</f>
        <v/>
      </c>
      <c r="P383" s="6" t="n"/>
      <c r="Q383" s="5" t="n"/>
      <c r="R383" s="5" t="n"/>
      <c r="S383" s="5" t="n"/>
      <c r="T383" s="6" t="n"/>
      <c r="U383" s="6" t="n"/>
      <c r="V383" s="6" t="n"/>
      <c r="W383" s="6" t="n"/>
      <c r="X383" s="6" t="n"/>
      <c r="Y383" s="6" t="n"/>
    </row>
    <row r="384" ht="22" customHeight="1">
      <c r="A384" s="5" t="n"/>
      <c r="B384" s="6" t="n"/>
      <c r="C384" s="5" t="n"/>
      <c r="D384" s="5" t="n"/>
      <c r="E384" s="5" t="n"/>
      <c r="F384" s="6" t="n"/>
      <c r="G384" s="6" t="n"/>
      <c r="H384" s="7">
        <f>IF(AND(F384="",G384=""),"", "Risk of """ &amp; F384 &amp; """ because of """ &amp; SUBSTITUTE(G384, ", ", """ and """) &amp; """")</f>
        <v/>
      </c>
      <c r="I384" s="5" t="n"/>
      <c r="J384" s="5" t="n"/>
      <c r="K384" s="5" t="n"/>
      <c r="L384" s="8">
        <f>IF(E384="Confidential", 4, IF(E384="Sensitive", 3, IF(E384="Private", 2, IF(E384="Public", 1, ""))))</f>
        <v/>
      </c>
      <c r="M384" s="5" t="n"/>
      <c r="N384" s="8">
        <f>IF(OR(L384="",M384=""), "", L384*M384)</f>
        <v/>
      </c>
      <c r="O384" s="8">
        <f>IF(N384="","", IF(N384&gt;6, "High", IF(N384&gt;=4, "Medium", "Low")))</f>
        <v/>
      </c>
      <c r="P384" s="6" t="n"/>
      <c r="Q384" s="5" t="n"/>
      <c r="R384" s="5" t="n"/>
      <c r="S384" s="5" t="n"/>
      <c r="T384" s="6" t="n"/>
      <c r="U384" s="6" t="n"/>
      <c r="V384" s="6" t="n"/>
      <c r="W384" s="6" t="n"/>
      <c r="X384" s="6" t="n"/>
      <c r="Y384" s="6" t="n"/>
    </row>
    <row r="385" ht="22" customHeight="1">
      <c r="A385" s="5" t="n"/>
      <c r="B385" s="6" t="n"/>
      <c r="C385" s="5" t="n"/>
      <c r="D385" s="5" t="n"/>
      <c r="E385" s="5" t="n"/>
      <c r="F385" s="6" t="n"/>
      <c r="G385" s="6" t="n"/>
      <c r="H385" s="7">
        <f>IF(AND(F385="",G385=""),"", "Risk of """ &amp; F385 &amp; """ because of """ &amp; SUBSTITUTE(G385, ", ", """ and """) &amp; """")</f>
        <v/>
      </c>
      <c r="I385" s="5" t="n"/>
      <c r="J385" s="5" t="n"/>
      <c r="K385" s="5" t="n"/>
      <c r="L385" s="8">
        <f>IF(E385="Confidential", 4, IF(E385="Sensitive", 3, IF(E385="Private", 2, IF(E385="Public", 1, ""))))</f>
        <v/>
      </c>
      <c r="M385" s="5" t="n"/>
      <c r="N385" s="8">
        <f>IF(OR(L385="",M385=""), "", L385*M385)</f>
        <v/>
      </c>
      <c r="O385" s="8">
        <f>IF(N385="","", IF(N385&gt;6, "High", IF(N385&gt;=4, "Medium", "Low")))</f>
        <v/>
      </c>
      <c r="P385" s="6" t="n"/>
      <c r="Q385" s="5" t="n"/>
      <c r="R385" s="5" t="n"/>
      <c r="S385" s="5" t="n"/>
      <c r="T385" s="6" t="n"/>
      <c r="U385" s="6" t="n"/>
      <c r="V385" s="6" t="n"/>
      <c r="W385" s="6" t="n"/>
      <c r="X385" s="6" t="n"/>
      <c r="Y385" s="6" t="n"/>
    </row>
    <row r="386" ht="22" customHeight="1">
      <c r="A386" s="5" t="n"/>
      <c r="B386" s="6" t="n"/>
      <c r="C386" s="5" t="n"/>
      <c r="D386" s="5" t="n"/>
      <c r="E386" s="5" t="n"/>
      <c r="F386" s="6" t="n"/>
      <c r="G386" s="6" t="n"/>
      <c r="H386" s="7">
        <f>IF(AND(F386="",G386=""),"", "Risk of """ &amp; F386 &amp; """ because of """ &amp; SUBSTITUTE(G386, ", ", """ and """) &amp; """")</f>
        <v/>
      </c>
      <c r="I386" s="5" t="n"/>
      <c r="J386" s="5" t="n"/>
      <c r="K386" s="5" t="n"/>
      <c r="L386" s="8">
        <f>IF(E386="Confidential", 4, IF(E386="Sensitive", 3, IF(E386="Private", 2, IF(E386="Public", 1, ""))))</f>
        <v/>
      </c>
      <c r="M386" s="5" t="n"/>
      <c r="N386" s="8">
        <f>IF(OR(L386="",M386=""), "", L386*M386)</f>
        <v/>
      </c>
      <c r="O386" s="8">
        <f>IF(N386="","", IF(N386&gt;6, "High", IF(N386&gt;=4, "Medium", "Low")))</f>
        <v/>
      </c>
      <c r="P386" s="6" t="n"/>
      <c r="Q386" s="5" t="n"/>
      <c r="R386" s="5" t="n"/>
      <c r="S386" s="5" t="n"/>
      <c r="T386" s="6" t="n"/>
      <c r="U386" s="6" t="n"/>
      <c r="V386" s="6" t="n"/>
      <c r="W386" s="6" t="n"/>
      <c r="X386" s="6" t="n"/>
      <c r="Y386" s="6" t="n"/>
    </row>
    <row r="387" ht="22" customHeight="1">
      <c r="A387" s="5" t="n"/>
      <c r="B387" s="6" t="n"/>
      <c r="C387" s="5" t="n"/>
      <c r="D387" s="5" t="n"/>
      <c r="E387" s="5" t="n"/>
      <c r="F387" s="6" t="n"/>
      <c r="G387" s="6" t="n"/>
      <c r="H387" s="7">
        <f>IF(AND(F387="",G387=""),"", "Risk of """ &amp; F387 &amp; """ because of """ &amp; SUBSTITUTE(G387, ", ", """ and """) &amp; """")</f>
        <v/>
      </c>
      <c r="I387" s="5" t="n"/>
      <c r="J387" s="5" t="n"/>
      <c r="K387" s="5" t="n"/>
      <c r="L387" s="8">
        <f>IF(E387="Confidential", 4, IF(E387="Sensitive", 3, IF(E387="Private", 2, IF(E387="Public", 1, ""))))</f>
        <v/>
      </c>
      <c r="M387" s="5" t="n"/>
      <c r="N387" s="8">
        <f>IF(OR(L387="",M387=""), "", L387*M387)</f>
        <v/>
      </c>
      <c r="O387" s="8">
        <f>IF(N387="","", IF(N387&gt;6, "High", IF(N387&gt;=4, "Medium", "Low")))</f>
        <v/>
      </c>
      <c r="P387" s="6" t="n"/>
      <c r="Q387" s="5" t="n"/>
      <c r="R387" s="5" t="n"/>
      <c r="S387" s="5" t="n"/>
      <c r="T387" s="6" t="n"/>
      <c r="U387" s="6" t="n"/>
      <c r="V387" s="6" t="n"/>
      <c r="W387" s="6" t="n"/>
      <c r="X387" s="6" t="n"/>
      <c r="Y387" s="6" t="n"/>
    </row>
    <row r="388" ht="22" customHeight="1">
      <c r="A388" s="5" t="n"/>
      <c r="B388" s="6" t="n"/>
      <c r="C388" s="5" t="n"/>
      <c r="D388" s="5" t="n"/>
      <c r="E388" s="5" t="n"/>
      <c r="F388" s="6" t="n"/>
      <c r="G388" s="6" t="n"/>
      <c r="H388" s="7">
        <f>IF(AND(F388="",G388=""),"", "Risk of """ &amp; F388 &amp; """ because of """ &amp; SUBSTITUTE(G388, ", ", """ and """) &amp; """")</f>
        <v/>
      </c>
      <c r="I388" s="5" t="n"/>
      <c r="J388" s="5" t="n"/>
      <c r="K388" s="5" t="n"/>
      <c r="L388" s="8">
        <f>IF(E388="Confidential", 4, IF(E388="Sensitive", 3, IF(E388="Private", 2, IF(E388="Public", 1, ""))))</f>
        <v/>
      </c>
      <c r="M388" s="5" t="n"/>
      <c r="N388" s="8">
        <f>IF(OR(L388="",M388=""), "", L388*M388)</f>
        <v/>
      </c>
      <c r="O388" s="8">
        <f>IF(N388="","", IF(N388&gt;6, "High", IF(N388&gt;=4, "Medium", "Low")))</f>
        <v/>
      </c>
      <c r="P388" s="6" t="n"/>
      <c r="Q388" s="5" t="n"/>
      <c r="R388" s="5" t="n"/>
      <c r="S388" s="5" t="n"/>
      <c r="T388" s="6" t="n"/>
      <c r="U388" s="6" t="n"/>
      <c r="V388" s="6" t="n"/>
      <c r="W388" s="6" t="n"/>
      <c r="X388" s="6" t="n"/>
      <c r="Y388" s="6" t="n"/>
    </row>
    <row r="389" ht="22" customHeight="1">
      <c r="A389" s="5" t="n"/>
      <c r="B389" s="6" t="n"/>
      <c r="C389" s="5" t="n"/>
      <c r="D389" s="5" t="n"/>
      <c r="E389" s="5" t="n"/>
      <c r="F389" s="6" t="n"/>
      <c r="G389" s="6" t="n"/>
      <c r="H389" s="7">
        <f>IF(AND(F389="",G389=""),"", "Risk of """ &amp; F389 &amp; """ because of """ &amp; SUBSTITUTE(G389, ", ", """ and """) &amp; """")</f>
        <v/>
      </c>
      <c r="I389" s="5" t="n"/>
      <c r="J389" s="5" t="n"/>
      <c r="K389" s="5" t="n"/>
      <c r="L389" s="8">
        <f>IF(E389="Confidential", 4, IF(E389="Sensitive", 3, IF(E389="Private", 2, IF(E389="Public", 1, ""))))</f>
        <v/>
      </c>
      <c r="M389" s="5" t="n"/>
      <c r="N389" s="8">
        <f>IF(OR(L389="",M389=""), "", L389*M389)</f>
        <v/>
      </c>
      <c r="O389" s="8">
        <f>IF(N389="","", IF(N389&gt;6, "High", IF(N389&gt;=4, "Medium", "Low")))</f>
        <v/>
      </c>
      <c r="P389" s="6" t="n"/>
      <c r="Q389" s="5" t="n"/>
      <c r="R389" s="5" t="n"/>
      <c r="S389" s="5" t="n"/>
      <c r="T389" s="6" t="n"/>
      <c r="U389" s="6" t="n"/>
      <c r="V389" s="6" t="n"/>
      <c r="W389" s="6" t="n"/>
      <c r="X389" s="6" t="n"/>
      <c r="Y389" s="6" t="n"/>
    </row>
    <row r="390" ht="22" customHeight="1">
      <c r="A390" s="5" t="n"/>
      <c r="B390" s="6" t="n"/>
      <c r="C390" s="5" t="n"/>
      <c r="D390" s="5" t="n"/>
      <c r="E390" s="5" t="n"/>
      <c r="F390" s="6" t="n"/>
      <c r="G390" s="6" t="n"/>
      <c r="H390" s="7">
        <f>IF(AND(F390="",G390=""),"", "Risk of """ &amp; F390 &amp; """ because of """ &amp; SUBSTITUTE(G390, ", ", """ and """) &amp; """")</f>
        <v/>
      </c>
      <c r="I390" s="5" t="n"/>
      <c r="J390" s="5" t="n"/>
      <c r="K390" s="5" t="n"/>
      <c r="L390" s="8">
        <f>IF(E390="Confidential", 4, IF(E390="Sensitive", 3, IF(E390="Private", 2, IF(E390="Public", 1, ""))))</f>
        <v/>
      </c>
      <c r="M390" s="5" t="n"/>
      <c r="N390" s="8">
        <f>IF(OR(L390="",M390=""), "", L390*M390)</f>
        <v/>
      </c>
      <c r="O390" s="8">
        <f>IF(N390="","", IF(N390&gt;6, "High", IF(N390&gt;=4, "Medium", "Low")))</f>
        <v/>
      </c>
      <c r="P390" s="6" t="n"/>
      <c r="Q390" s="5" t="n"/>
      <c r="R390" s="5" t="n"/>
      <c r="S390" s="5" t="n"/>
      <c r="T390" s="6" t="n"/>
      <c r="U390" s="6" t="n"/>
      <c r="V390" s="6" t="n"/>
      <c r="W390" s="6" t="n"/>
      <c r="X390" s="6" t="n"/>
      <c r="Y390" s="6" t="n"/>
    </row>
    <row r="391" ht="22" customHeight="1">
      <c r="A391" s="5" t="n"/>
      <c r="B391" s="6" t="n"/>
      <c r="C391" s="5" t="n"/>
      <c r="D391" s="5" t="n"/>
      <c r="E391" s="5" t="n"/>
      <c r="F391" s="6" t="n"/>
      <c r="G391" s="6" t="n"/>
      <c r="H391" s="7">
        <f>IF(AND(F391="",G391=""),"", "Risk of """ &amp; F391 &amp; """ because of """ &amp; SUBSTITUTE(G391, ", ", """ and """) &amp; """")</f>
        <v/>
      </c>
      <c r="I391" s="5" t="n"/>
      <c r="J391" s="5" t="n"/>
      <c r="K391" s="5" t="n"/>
      <c r="L391" s="8">
        <f>IF(E391="Confidential", 4, IF(E391="Sensitive", 3, IF(E391="Private", 2, IF(E391="Public", 1, ""))))</f>
        <v/>
      </c>
      <c r="M391" s="5" t="n"/>
      <c r="N391" s="8">
        <f>IF(OR(L391="",M391=""), "", L391*M391)</f>
        <v/>
      </c>
      <c r="O391" s="8">
        <f>IF(N391="","", IF(N391&gt;6, "High", IF(N391&gt;=4, "Medium", "Low")))</f>
        <v/>
      </c>
      <c r="P391" s="6" t="n"/>
      <c r="Q391" s="5" t="n"/>
      <c r="R391" s="5" t="n"/>
      <c r="S391" s="5" t="n"/>
      <c r="T391" s="6" t="n"/>
      <c r="U391" s="6" t="n"/>
      <c r="V391" s="6" t="n"/>
      <c r="W391" s="6" t="n"/>
      <c r="X391" s="6" t="n"/>
      <c r="Y391" s="6" t="n"/>
    </row>
    <row r="392" ht="22" customHeight="1">
      <c r="A392" s="5" t="n"/>
      <c r="B392" s="6" t="n"/>
      <c r="C392" s="5" t="n"/>
      <c r="D392" s="5" t="n"/>
      <c r="E392" s="5" t="n"/>
      <c r="F392" s="6" t="n"/>
      <c r="G392" s="6" t="n"/>
      <c r="H392" s="7">
        <f>IF(AND(F392="",G392=""),"", "Risk of """ &amp; F392 &amp; """ because of """ &amp; SUBSTITUTE(G392, ", ", """ and """) &amp; """")</f>
        <v/>
      </c>
      <c r="I392" s="5" t="n"/>
      <c r="J392" s="5" t="n"/>
      <c r="K392" s="5" t="n"/>
      <c r="L392" s="8">
        <f>IF(E392="Confidential", 4, IF(E392="Sensitive", 3, IF(E392="Private", 2, IF(E392="Public", 1, ""))))</f>
        <v/>
      </c>
      <c r="M392" s="5" t="n"/>
      <c r="N392" s="8">
        <f>IF(OR(L392="",M392=""), "", L392*M392)</f>
        <v/>
      </c>
      <c r="O392" s="8">
        <f>IF(N392="","", IF(N392&gt;6, "High", IF(N392&gt;=4, "Medium", "Low")))</f>
        <v/>
      </c>
      <c r="P392" s="6" t="n"/>
      <c r="Q392" s="5" t="n"/>
      <c r="R392" s="5" t="n"/>
      <c r="S392" s="5" t="n"/>
      <c r="T392" s="6" t="n"/>
      <c r="U392" s="6" t="n"/>
      <c r="V392" s="6" t="n"/>
      <c r="W392" s="6" t="n"/>
      <c r="X392" s="6" t="n"/>
      <c r="Y392" s="6" t="n"/>
    </row>
    <row r="393" ht="22" customHeight="1">
      <c r="A393" s="5" t="n"/>
      <c r="B393" s="6" t="n"/>
      <c r="C393" s="5" t="n"/>
      <c r="D393" s="5" t="n"/>
      <c r="E393" s="5" t="n"/>
      <c r="F393" s="6" t="n"/>
      <c r="G393" s="6" t="n"/>
      <c r="H393" s="7">
        <f>IF(AND(F393="",G393=""),"", "Risk of """ &amp; F393 &amp; """ because of """ &amp; SUBSTITUTE(G393, ", ", """ and """) &amp; """")</f>
        <v/>
      </c>
      <c r="I393" s="5" t="n"/>
      <c r="J393" s="5" t="n"/>
      <c r="K393" s="5" t="n"/>
      <c r="L393" s="8">
        <f>IF(E393="Confidential", 4, IF(E393="Sensitive", 3, IF(E393="Private", 2, IF(E393="Public", 1, ""))))</f>
        <v/>
      </c>
      <c r="M393" s="5" t="n"/>
      <c r="N393" s="8">
        <f>IF(OR(L393="",M393=""), "", L393*M393)</f>
        <v/>
      </c>
      <c r="O393" s="8">
        <f>IF(N393="","", IF(N393&gt;6, "High", IF(N393&gt;=4, "Medium", "Low")))</f>
        <v/>
      </c>
      <c r="P393" s="6" t="n"/>
      <c r="Q393" s="5" t="n"/>
      <c r="R393" s="5" t="n"/>
      <c r="S393" s="5" t="n"/>
      <c r="T393" s="6" t="n"/>
      <c r="U393" s="6" t="n"/>
      <c r="V393" s="6" t="n"/>
      <c r="W393" s="6" t="n"/>
      <c r="X393" s="6" t="n"/>
      <c r="Y393" s="6" t="n"/>
    </row>
    <row r="394" ht="22" customHeight="1">
      <c r="A394" s="5" t="n"/>
      <c r="B394" s="6" t="n"/>
      <c r="C394" s="5" t="n"/>
      <c r="D394" s="5" t="n"/>
      <c r="E394" s="5" t="n"/>
      <c r="F394" s="6" t="n"/>
      <c r="G394" s="6" t="n"/>
      <c r="H394" s="7">
        <f>IF(AND(F394="",G394=""),"", "Risk of """ &amp; F394 &amp; """ because of """ &amp; SUBSTITUTE(G394, ", ", """ and """) &amp; """")</f>
        <v/>
      </c>
      <c r="I394" s="5" t="n"/>
      <c r="J394" s="5" t="n"/>
      <c r="K394" s="5" t="n"/>
      <c r="L394" s="8">
        <f>IF(E394="Confidential", 4, IF(E394="Sensitive", 3, IF(E394="Private", 2, IF(E394="Public", 1, ""))))</f>
        <v/>
      </c>
      <c r="M394" s="5" t="n"/>
      <c r="N394" s="8">
        <f>IF(OR(L394="",M394=""), "", L394*M394)</f>
        <v/>
      </c>
      <c r="O394" s="8">
        <f>IF(N394="","", IF(N394&gt;6, "High", IF(N394&gt;=4, "Medium", "Low")))</f>
        <v/>
      </c>
      <c r="P394" s="6" t="n"/>
      <c r="Q394" s="5" t="n"/>
      <c r="R394" s="5" t="n"/>
      <c r="S394" s="5" t="n"/>
      <c r="T394" s="6" t="n"/>
      <c r="U394" s="6" t="n"/>
      <c r="V394" s="6" t="n"/>
      <c r="W394" s="6" t="n"/>
      <c r="X394" s="6" t="n"/>
      <c r="Y394" s="6" t="n"/>
    </row>
    <row r="395" ht="22" customHeight="1">
      <c r="A395" s="5" t="n"/>
      <c r="B395" s="6" t="n"/>
      <c r="C395" s="5" t="n"/>
      <c r="D395" s="5" t="n"/>
      <c r="E395" s="5" t="n"/>
      <c r="F395" s="6" t="n"/>
      <c r="G395" s="6" t="n"/>
      <c r="H395" s="7">
        <f>IF(AND(F395="",G395=""),"", "Risk of """ &amp; F395 &amp; """ because of """ &amp; SUBSTITUTE(G395, ", ", """ and """) &amp; """")</f>
        <v/>
      </c>
      <c r="I395" s="5" t="n"/>
      <c r="J395" s="5" t="n"/>
      <c r="K395" s="5" t="n"/>
      <c r="L395" s="8">
        <f>IF(E395="Confidential", 4, IF(E395="Sensitive", 3, IF(E395="Private", 2, IF(E395="Public", 1, ""))))</f>
        <v/>
      </c>
      <c r="M395" s="5" t="n"/>
      <c r="N395" s="8">
        <f>IF(OR(L395="",M395=""), "", L395*M395)</f>
        <v/>
      </c>
      <c r="O395" s="8">
        <f>IF(N395="","", IF(N395&gt;6, "High", IF(N395&gt;=4, "Medium", "Low")))</f>
        <v/>
      </c>
      <c r="P395" s="6" t="n"/>
      <c r="Q395" s="5" t="n"/>
      <c r="R395" s="5" t="n"/>
      <c r="S395" s="5" t="n"/>
      <c r="T395" s="6" t="n"/>
      <c r="U395" s="6" t="n"/>
      <c r="V395" s="6" t="n"/>
      <c r="W395" s="6" t="n"/>
      <c r="X395" s="6" t="n"/>
      <c r="Y395" s="6" t="n"/>
    </row>
    <row r="396" ht="22" customHeight="1">
      <c r="A396" s="5" t="n"/>
      <c r="B396" s="6" t="n"/>
      <c r="C396" s="5" t="n"/>
      <c r="D396" s="5" t="n"/>
      <c r="E396" s="5" t="n"/>
      <c r="F396" s="6" t="n"/>
      <c r="G396" s="6" t="n"/>
      <c r="H396" s="7">
        <f>IF(AND(F396="",G396=""),"", "Risk of """ &amp; F396 &amp; """ because of """ &amp; SUBSTITUTE(G396, ", ", """ and """) &amp; """")</f>
        <v/>
      </c>
      <c r="I396" s="5" t="n"/>
      <c r="J396" s="5" t="n"/>
      <c r="K396" s="5" t="n"/>
      <c r="L396" s="8">
        <f>IF(E396="Confidential", 4, IF(E396="Sensitive", 3, IF(E396="Private", 2, IF(E396="Public", 1, ""))))</f>
        <v/>
      </c>
      <c r="M396" s="5" t="n"/>
      <c r="N396" s="8">
        <f>IF(OR(L396="",M396=""), "", L396*M396)</f>
        <v/>
      </c>
      <c r="O396" s="8">
        <f>IF(N396="","", IF(N396&gt;6, "High", IF(N396&gt;=4, "Medium", "Low")))</f>
        <v/>
      </c>
      <c r="P396" s="6" t="n"/>
      <c r="Q396" s="5" t="n"/>
      <c r="R396" s="5" t="n"/>
      <c r="S396" s="5" t="n"/>
      <c r="T396" s="6" t="n"/>
      <c r="U396" s="6" t="n"/>
      <c r="V396" s="6" t="n"/>
      <c r="W396" s="6" t="n"/>
      <c r="X396" s="6" t="n"/>
      <c r="Y396" s="6" t="n"/>
    </row>
    <row r="397" ht="22" customHeight="1">
      <c r="A397" s="5" t="n"/>
      <c r="B397" s="6" t="n"/>
      <c r="C397" s="5" t="n"/>
      <c r="D397" s="5" t="n"/>
      <c r="E397" s="5" t="n"/>
      <c r="F397" s="6" t="n"/>
      <c r="G397" s="6" t="n"/>
      <c r="H397" s="7">
        <f>IF(AND(F397="",G397=""),"", "Risk of """ &amp; F397 &amp; """ because of """ &amp; SUBSTITUTE(G397, ", ", """ and """) &amp; """")</f>
        <v/>
      </c>
      <c r="I397" s="5" t="n"/>
      <c r="J397" s="5" t="n"/>
      <c r="K397" s="5" t="n"/>
      <c r="L397" s="8">
        <f>IF(E397="Confidential", 4, IF(E397="Sensitive", 3, IF(E397="Private", 2, IF(E397="Public", 1, ""))))</f>
        <v/>
      </c>
      <c r="M397" s="5" t="n"/>
      <c r="N397" s="8">
        <f>IF(OR(L397="",M397=""), "", L397*M397)</f>
        <v/>
      </c>
      <c r="O397" s="8">
        <f>IF(N397="","", IF(N397&gt;6, "High", IF(N397&gt;=4, "Medium", "Low")))</f>
        <v/>
      </c>
      <c r="P397" s="6" t="n"/>
      <c r="Q397" s="5" t="n"/>
      <c r="R397" s="5" t="n"/>
      <c r="S397" s="5" t="n"/>
      <c r="T397" s="6" t="n"/>
      <c r="U397" s="6" t="n"/>
      <c r="V397" s="6" t="n"/>
      <c r="W397" s="6" t="n"/>
      <c r="X397" s="6" t="n"/>
      <c r="Y397" s="6" t="n"/>
    </row>
    <row r="398" ht="22" customHeight="1">
      <c r="A398" s="5" t="n"/>
      <c r="B398" s="6" t="n"/>
      <c r="C398" s="5" t="n"/>
      <c r="D398" s="5" t="n"/>
      <c r="E398" s="5" t="n"/>
      <c r="F398" s="6" t="n"/>
      <c r="G398" s="6" t="n"/>
      <c r="H398" s="7">
        <f>IF(AND(F398="",G398=""),"", "Risk of """ &amp; F398 &amp; """ because of """ &amp; SUBSTITUTE(G398, ", ", """ and """) &amp; """")</f>
        <v/>
      </c>
      <c r="I398" s="5" t="n"/>
      <c r="J398" s="5" t="n"/>
      <c r="K398" s="5" t="n"/>
      <c r="L398" s="8">
        <f>IF(E398="Confidential", 4, IF(E398="Sensitive", 3, IF(E398="Private", 2, IF(E398="Public", 1, ""))))</f>
        <v/>
      </c>
      <c r="M398" s="5" t="n"/>
      <c r="N398" s="8">
        <f>IF(OR(L398="",M398=""), "", L398*M398)</f>
        <v/>
      </c>
      <c r="O398" s="8">
        <f>IF(N398="","", IF(N398&gt;6, "High", IF(N398&gt;=4, "Medium", "Low")))</f>
        <v/>
      </c>
      <c r="P398" s="6" t="n"/>
      <c r="Q398" s="5" t="n"/>
      <c r="R398" s="5" t="n"/>
      <c r="S398" s="5" t="n"/>
      <c r="T398" s="6" t="n"/>
      <c r="U398" s="6" t="n"/>
      <c r="V398" s="6" t="n"/>
      <c r="W398" s="6" t="n"/>
      <c r="X398" s="6" t="n"/>
      <c r="Y398" s="6" t="n"/>
    </row>
    <row r="399" ht="22" customHeight="1">
      <c r="A399" s="5" t="n"/>
      <c r="B399" s="6" t="n"/>
      <c r="C399" s="5" t="n"/>
      <c r="D399" s="5" t="n"/>
      <c r="E399" s="5" t="n"/>
      <c r="F399" s="6" t="n"/>
      <c r="G399" s="6" t="n"/>
      <c r="H399" s="7">
        <f>IF(AND(F399="",G399=""),"", "Risk of """ &amp; F399 &amp; """ because of """ &amp; SUBSTITUTE(G399, ", ", """ and """) &amp; """")</f>
        <v/>
      </c>
      <c r="I399" s="5" t="n"/>
      <c r="J399" s="5" t="n"/>
      <c r="K399" s="5" t="n"/>
      <c r="L399" s="8">
        <f>IF(E399="Confidential", 4, IF(E399="Sensitive", 3, IF(E399="Private", 2, IF(E399="Public", 1, ""))))</f>
        <v/>
      </c>
      <c r="M399" s="5" t="n"/>
      <c r="N399" s="8">
        <f>IF(OR(L399="",M399=""), "", L399*M399)</f>
        <v/>
      </c>
      <c r="O399" s="8">
        <f>IF(N399="","", IF(N399&gt;6, "High", IF(N399&gt;=4, "Medium", "Low")))</f>
        <v/>
      </c>
      <c r="P399" s="6" t="n"/>
      <c r="Q399" s="5" t="n"/>
      <c r="R399" s="5" t="n"/>
      <c r="S399" s="5" t="n"/>
      <c r="T399" s="6" t="n"/>
      <c r="U399" s="6" t="n"/>
      <c r="V399" s="6" t="n"/>
      <c r="W399" s="6" t="n"/>
      <c r="X399" s="6" t="n"/>
      <c r="Y399" s="6" t="n"/>
    </row>
    <row r="400" ht="22" customHeight="1">
      <c r="A400" s="5" t="n"/>
      <c r="B400" s="6" t="n"/>
      <c r="C400" s="5" t="n"/>
      <c r="D400" s="5" t="n"/>
      <c r="E400" s="5" t="n"/>
      <c r="F400" s="6" t="n"/>
      <c r="G400" s="6" t="n"/>
      <c r="H400" s="7">
        <f>IF(AND(F400="",G400=""),"", "Risk of """ &amp; F400 &amp; """ because of """ &amp; SUBSTITUTE(G400, ", ", """ and """) &amp; """")</f>
        <v/>
      </c>
      <c r="I400" s="5" t="n"/>
      <c r="J400" s="5" t="n"/>
      <c r="K400" s="5" t="n"/>
      <c r="L400" s="8">
        <f>IF(E400="Confidential", 4, IF(E400="Sensitive", 3, IF(E400="Private", 2, IF(E400="Public", 1, ""))))</f>
        <v/>
      </c>
      <c r="M400" s="5" t="n"/>
      <c r="N400" s="8">
        <f>IF(OR(L400="",M400=""), "", L400*M400)</f>
        <v/>
      </c>
      <c r="O400" s="8">
        <f>IF(N400="","", IF(N400&gt;6, "High", IF(N400&gt;=4, "Medium", "Low")))</f>
        <v/>
      </c>
      <c r="P400" s="6" t="n"/>
      <c r="Q400" s="5" t="n"/>
      <c r="R400" s="5" t="n"/>
      <c r="S400" s="5" t="n"/>
      <c r="T400" s="6" t="n"/>
      <c r="U400" s="6" t="n"/>
      <c r="V400" s="6" t="n"/>
      <c r="W400" s="6" t="n"/>
      <c r="X400" s="6" t="n"/>
      <c r="Y400" s="6" t="n"/>
    </row>
    <row r="401" ht="22" customHeight="1">
      <c r="A401" s="5" t="n"/>
      <c r="B401" s="6" t="n"/>
      <c r="C401" s="5" t="n"/>
      <c r="D401" s="5" t="n"/>
      <c r="E401" s="5" t="n"/>
      <c r="F401" s="6" t="n"/>
      <c r="G401" s="6" t="n"/>
      <c r="H401" s="7">
        <f>IF(AND(F401="",G401=""),"", "Risk of """ &amp; F401 &amp; """ because of """ &amp; SUBSTITUTE(G401, ", ", """ and """) &amp; """")</f>
        <v/>
      </c>
      <c r="I401" s="5" t="n"/>
      <c r="J401" s="5" t="n"/>
      <c r="K401" s="5" t="n"/>
      <c r="L401" s="8">
        <f>IF(E401="Confidential", 4, IF(E401="Sensitive", 3, IF(E401="Private", 2, IF(E401="Public", 1, ""))))</f>
        <v/>
      </c>
      <c r="M401" s="5" t="n"/>
      <c r="N401" s="8">
        <f>IF(OR(L401="",M401=""), "", L401*M401)</f>
        <v/>
      </c>
      <c r="O401" s="8">
        <f>IF(N401="","", IF(N401&gt;6, "High", IF(N401&gt;=4, "Medium", "Low")))</f>
        <v/>
      </c>
      <c r="P401" s="6" t="n"/>
      <c r="Q401" s="5" t="n"/>
      <c r="R401" s="5" t="n"/>
      <c r="S401" s="5" t="n"/>
      <c r="T401" s="6" t="n"/>
      <c r="U401" s="6" t="n"/>
      <c r="V401" s="6" t="n"/>
      <c r="W401" s="6" t="n"/>
      <c r="X401" s="6" t="n"/>
      <c r="Y401" s="6" t="n"/>
    </row>
    <row r="402" ht="22" customHeight="1">
      <c r="A402" s="5" t="n"/>
      <c r="B402" s="6" t="n"/>
      <c r="C402" s="5" t="n"/>
      <c r="D402" s="5" t="n"/>
      <c r="E402" s="5" t="n"/>
      <c r="F402" s="6" t="n"/>
      <c r="G402" s="6" t="n"/>
      <c r="H402" s="7">
        <f>IF(AND(F402="",G402=""),"", "Risk of """ &amp; F402 &amp; """ because of """ &amp; SUBSTITUTE(G402, ", ", """ and """) &amp; """")</f>
        <v/>
      </c>
      <c r="I402" s="5" t="n"/>
      <c r="J402" s="5" t="n"/>
      <c r="K402" s="5" t="n"/>
      <c r="L402" s="8">
        <f>IF(E402="Confidential", 4, IF(E402="Sensitive", 3, IF(E402="Private", 2, IF(E402="Public", 1, ""))))</f>
        <v/>
      </c>
      <c r="M402" s="5" t="n"/>
      <c r="N402" s="8">
        <f>IF(OR(L402="",M402=""), "", L402*M402)</f>
        <v/>
      </c>
      <c r="O402" s="8">
        <f>IF(N402="","", IF(N402&gt;6, "High", IF(N402&gt;=4, "Medium", "Low")))</f>
        <v/>
      </c>
      <c r="P402" s="6" t="n"/>
      <c r="Q402" s="5" t="n"/>
      <c r="R402" s="5" t="n"/>
      <c r="S402" s="5" t="n"/>
      <c r="T402" s="6" t="n"/>
      <c r="U402" s="6" t="n"/>
      <c r="V402" s="6" t="n"/>
      <c r="W402" s="6" t="n"/>
      <c r="X402" s="6" t="n"/>
      <c r="Y402" s="6" t="n"/>
    </row>
    <row r="403" ht="22" customHeight="1">
      <c r="A403" s="5" t="n"/>
      <c r="B403" s="6" t="n"/>
      <c r="C403" s="5" t="n"/>
      <c r="D403" s="5" t="n"/>
      <c r="E403" s="5" t="n"/>
      <c r="F403" s="6" t="n"/>
      <c r="G403" s="6" t="n"/>
      <c r="H403" s="7">
        <f>IF(AND(F403="",G403=""),"", "Risk of """ &amp; F403 &amp; """ because of """ &amp; SUBSTITUTE(G403, ", ", """ and """) &amp; """")</f>
        <v/>
      </c>
      <c r="I403" s="5" t="n"/>
      <c r="J403" s="5" t="n"/>
      <c r="K403" s="5" t="n"/>
      <c r="L403" s="8">
        <f>IF(E403="Confidential", 4, IF(E403="Sensitive", 3, IF(E403="Private", 2, IF(E403="Public", 1, ""))))</f>
        <v/>
      </c>
      <c r="M403" s="5" t="n"/>
      <c r="N403" s="8">
        <f>IF(OR(L403="",M403=""), "", L403*M403)</f>
        <v/>
      </c>
      <c r="O403" s="8">
        <f>IF(N403="","", IF(N403&gt;6, "High", IF(N403&gt;=4, "Medium", "Low")))</f>
        <v/>
      </c>
      <c r="P403" s="6" t="n"/>
      <c r="Q403" s="5" t="n"/>
      <c r="R403" s="5" t="n"/>
      <c r="S403" s="5" t="n"/>
      <c r="T403" s="6" t="n"/>
      <c r="U403" s="6" t="n"/>
      <c r="V403" s="6" t="n"/>
      <c r="W403" s="6" t="n"/>
      <c r="X403" s="6" t="n"/>
      <c r="Y403" s="6" t="n"/>
    </row>
    <row r="404" ht="22" customHeight="1">
      <c r="A404" s="5" t="n"/>
      <c r="B404" s="6" t="n"/>
      <c r="C404" s="5" t="n"/>
      <c r="D404" s="5" t="n"/>
      <c r="E404" s="5" t="n"/>
      <c r="F404" s="6" t="n"/>
      <c r="G404" s="6" t="n"/>
      <c r="H404" s="7">
        <f>IF(AND(F404="",G404=""),"", "Risk of """ &amp; F404 &amp; """ because of """ &amp; SUBSTITUTE(G404, ", ", """ and """) &amp; """")</f>
        <v/>
      </c>
      <c r="I404" s="5" t="n"/>
      <c r="J404" s="5" t="n"/>
      <c r="K404" s="5" t="n"/>
      <c r="L404" s="8">
        <f>IF(E404="Confidential", 4, IF(E404="Sensitive", 3, IF(E404="Private", 2, IF(E404="Public", 1, ""))))</f>
        <v/>
      </c>
      <c r="M404" s="5" t="n"/>
      <c r="N404" s="8">
        <f>IF(OR(L404="",M404=""), "", L404*M404)</f>
        <v/>
      </c>
      <c r="O404" s="8">
        <f>IF(N404="","", IF(N404&gt;6, "High", IF(N404&gt;=4, "Medium", "Low")))</f>
        <v/>
      </c>
      <c r="P404" s="6" t="n"/>
      <c r="Q404" s="5" t="n"/>
      <c r="R404" s="5" t="n"/>
      <c r="S404" s="5" t="n"/>
      <c r="T404" s="6" t="n"/>
      <c r="U404" s="6" t="n"/>
      <c r="V404" s="6" t="n"/>
      <c r="W404" s="6" t="n"/>
      <c r="X404" s="6" t="n"/>
      <c r="Y404" s="6" t="n"/>
    </row>
    <row r="405" ht="22" customHeight="1">
      <c r="A405" s="5" t="n"/>
      <c r="B405" s="6" t="n"/>
      <c r="C405" s="5" t="n"/>
      <c r="D405" s="5" t="n"/>
      <c r="E405" s="5" t="n"/>
      <c r="F405" s="6" t="n"/>
      <c r="G405" s="6" t="n"/>
      <c r="H405" s="7">
        <f>IF(AND(F405="",G405=""),"", "Risk of """ &amp; F405 &amp; """ because of """ &amp; SUBSTITUTE(G405, ", ", """ and """) &amp; """")</f>
        <v/>
      </c>
      <c r="I405" s="5" t="n"/>
      <c r="J405" s="5" t="n"/>
      <c r="K405" s="5" t="n"/>
      <c r="L405" s="8">
        <f>IF(E405="Confidential", 4, IF(E405="Sensitive", 3, IF(E405="Private", 2, IF(E405="Public", 1, ""))))</f>
        <v/>
      </c>
      <c r="M405" s="5" t="n"/>
      <c r="N405" s="8">
        <f>IF(OR(L405="",M405=""), "", L405*M405)</f>
        <v/>
      </c>
      <c r="O405" s="8">
        <f>IF(N405="","", IF(N405&gt;6, "High", IF(N405&gt;=4, "Medium", "Low")))</f>
        <v/>
      </c>
      <c r="P405" s="6" t="n"/>
      <c r="Q405" s="5" t="n"/>
      <c r="R405" s="5" t="n"/>
      <c r="S405" s="5" t="n"/>
      <c r="T405" s="6" t="n"/>
      <c r="U405" s="6" t="n"/>
      <c r="V405" s="6" t="n"/>
      <c r="W405" s="6" t="n"/>
      <c r="X405" s="6" t="n"/>
      <c r="Y405" s="6" t="n"/>
    </row>
    <row r="406" ht="22" customHeight="1">
      <c r="A406" s="5" t="n"/>
      <c r="B406" s="6" t="n"/>
      <c r="C406" s="5" t="n"/>
      <c r="D406" s="5" t="n"/>
      <c r="E406" s="5" t="n"/>
      <c r="F406" s="6" t="n"/>
      <c r="G406" s="6" t="n"/>
      <c r="H406" s="7">
        <f>IF(AND(F406="",G406=""),"", "Risk of """ &amp; F406 &amp; """ because of """ &amp; SUBSTITUTE(G406, ", ", """ and """) &amp; """")</f>
        <v/>
      </c>
      <c r="I406" s="5" t="n"/>
      <c r="J406" s="5" t="n"/>
      <c r="K406" s="5" t="n"/>
      <c r="L406" s="8">
        <f>IF(E406="Confidential", 4, IF(E406="Sensitive", 3, IF(E406="Private", 2, IF(E406="Public", 1, ""))))</f>
        <v/>
      </c>
      <c r="M406" s="5" t="n"/>
      <c r="N406" s="8">
        <f>IF(OR(L406="",M406=""), "", L406*M406)</f>
        <v/>
      </c>
      <c r="O406" s="8">
        <f>IF(N406="","", IF(N406&gt;6, "High", IF(N406&gt;=4, "Medium", "Low")))</f>
        <v/>
      </c>
      <c r="P406" s="6" t="n"/>
      <c r="Q406" s="5" t="n"/>
      <c r="R406" s="5" t="n"/>
      <c r="S406" s="5" t="n"/>
      <c r="T406" s="6" t="n"/>
      <c r="U406" s="6" t="n"/>
      <c r="V406" s="6" t="n"/>
      <c r="W406" s="6" t="n"/>
      <c r="X406" s="6" t="n"/>
      <c r="Y406" s="6" t="n"/>
    </row>
    <row r="407" ht="22" customHeight="1">
      <c r="A407" s="5" t="n"/>
      <c r="B407" s="6" t="n"/>
      <c r="C407" s="5" t="n"/>
      <c r="D407" s="5" t="n"/>
      <c r="E407" s="5" t="n"/>
      <c r="F407" s="6" t="n"/>
      <c r="G407" s="6" t="n"/>
      <c r="H407" s="7">
        <f>IF(AND(F407="",G407=""),"", "Risk of """ &amp; F407 &amp; """ because of """ &amp; SUBSTITUTE(G407, ", ", """ and """) &amp; """")</f>
        <v/>
      </c>
      <c r="I407" s="5" t="n"/>
      <c r="J407" s="5" t="n"/>
      <c r="K407" s="5" t="n"/>
      <c r="L407" s="8">
        <f>IF(E407="Confidential", 4, IF(E407="Sensitive", 3, IF(E407="Private", 2, IF(E407="Public", 1, ""))))</f>
        <v/>
      </c>
      <c r="M407" s="5" t="n"/>
      <c r="N407" s="8">
        <f>IF(OR(L407="",M407=""), "", L407*M407)</f>
        <v/>
      </c>
      <c r="O407" s="8">
        <f>IF(N407="","", IF(N407&gt;6, "High", IF(N407&gt;=4, "Medium", "Low")))</f>
        <v/>
      </c>
      <c r="P407" s="6" t="n"/>
      <c r="Q407" s="5" t="n"/>
      <c r="R407" s="5" t="n"/>
      <c r="S407" s="5" t="n"/>
      <c r="T407" s="6" t="n"/>
      <c r="U407" s="6" t="n"/>
      <c r="V407" s="6" t="n"/>
      <c r="W407" s="6" t="n"/>
      <c r="X407" s="6" t="n"/>
      <c r="Y407" s="6" t="n"/>
    </row>
    <row r="408" ht="22" customHeight="1">
      <c r="A408" s="5" t="n"/>
      <c r="B408" s="6" t="n"/>
      <c r="C408" s="5" t="n"/>
      <c r="D408" s="5" t="n"/>
      <c r="E408" s="5" t="n"/>
      <c r="F408" s="6" t="n"/>
      <c r="G408" s="6" t="n"/>
      <c r="H408" s="7">
        <f>IF(AND(F408="",G408=""),"", "Risk of """ &amp; F408 &amp; """ because of """ &amp; SUBSTITUTE(G408, ", ", """ and """) &amp; """")</f>
        <v/>
      </c>
      <c r="I408" s="5" t="n"/>
      <c r="J408" s="5" t="n"/>
      <c r="K408" s="5" t="n"/>
      <c r="L408" s="8">
        <f>IF(E408="Confidential", 4, IF(E408="Sensitive", 3, IF(E408="Private", 2, IF(E408="Public", 1, ""))))</f>
        <v/>
      </c>
      <c r="M408" s="5" t="n"/>
      <c r="N408" s="8">
        <f>IF(OR(L408="",M408=""), "", L408*M408)</f>
        <v/>
      </c>
      <c r="O408" s="8">
        <f>IF(N408="","", IF(N408&gt;6, "High", IF(N408&gt;=4, "Medium", "Low")))</f>
        <v/>
      </c>
      <c r="P408" s="6" t="n"/>
      <c r="Q408" s="5" t="n"/>
      <c r="R408" s="5" t="n"/>
      <c r="S408" s="5" t="n"/>
      <c r="T408" s="6" t="n"/>
      <c r="U408" s="6" t="n"/>
      <c r="V408" s="6" t="n"/>
      <c r="W408" s="6" t="n"/>
      <c r="X408" s="6" t="n"/>
      <c r="Y408" s="6" t="n"/>
    </row>
    <row r="409" ht="22" customHeight="1">
      <c r="A409" s="5" t="n"/>
      <c r="B409" s="6" t="n"/>
      <c r="C409" s="5" t="n"/>
      <c r="D409" s="5" t="n"/>
      <c r="E409" s="5" t="n"/>
      <c r="F409" s="6" t="n"/>
      <c r="G409" s="6" t="n"/>
      <c r="H409" s="7">
        <f>IF(AND(F409="",G409=""),"", "Risk of """ &amp; F409 &amp; """ because of """ &amp; SUBSTITUTE(G409, ", ", """ and """) &amp; """")</f>
        <v/>
      </c>
      <c r="I409" s="5" t="n"/>
      <c r="J409" s="5" t="n"/>
      <c r="K409" s="5" t="n"/>
      <c r="L409" s="8">
        <f>IF(E409="Confidential", 4, IF(E409="Sensitive", 3, IF(E409="Private", 2, IF(E409="Public", 1, ""))))</f>
        <v/>
      </c>
      <c r="M409" s="5" t="n"/>
      <c r="N409" s="8">
        <f>IF(OR(L409="",M409=""), "", L409*M409)</f>
        <v/>
      </c>
      <c r="O409" s="8">
        <f>IF(N409="","", IF(N409&gt;6, "High", IF(N409&gt;=4, "Medium", "Low")))</f>
        <v/>
      </c>
      <c r="P409" s="6" t="n"/>
      <c r="Q409" s="5" t="n"/>
      <c r="R409" s="5" t="n"/>
      <c r="S409" s="5" t="n"/>
      <c r="T409" s="6" t="n"/>
      <c r="U409" s="6" t="n"/>
      <c r="V409" s="6" t="n"/>
      <c r="W409" s="6" t="n"/>
      <c r="X409" s="6" t="n"/>
      <c r="Y409" s="6" t="n"/>
    </row>
    <row r="410" ht="22" customHeight="1">
      <c r="A410" s="5" t="n"/>
      <c r="B410" s="6" t="n"/>
      <c r="C410" s="5" t="n"/>
      <c r="D410" s="5" t="n"/>
      <c r="E410" s="5" t="n"/>
      <c r="F410" s="6" t="n"/>
      <c r="G410" s="6" t="n"/>
      <c r="H410" s="7">
        <f>IF(AND(F410="",G410=""),"", "Risk of """ &amp; F410 &amp; """ because of """ &amp; SUBSTITUTE(G410, ", ", """ and """) &amp; """")</f>
        <v/>
      </c>
      <c r="I410" s="5" t="n"/>
      <c r="J410" s="5" t="n"/>
      <c r="K410" s="5" t="n"/>
      <c r="L410" s="8">
        <f>IF(E410="Confidential", 4, IF(E410="Sensitive", 3, IF(E410="Private", 2, IF(E410="Public", 1, ""))))</f>
        <v/>
      </c>
      <c r="M410" s="5" t="n"/>
      <c r="N410" s="8">
        <f>IF(OR(L410="",M410=""), "", L410*M410)</f>
        <v/>
      </c>
      <c r="O410" s="8">
        <f>IF(N410="","", IF(N410&gt;6, "High", IF(N410&gt;=4, "Medium", "Low")))</f>
        <v/>
      </c>
      <c r="P410" s="6" t="n"/>
      <c r="Q410" s="5" t="n"/>
      <c r="R410" s="5" t="n"/>
      <c r="S410" s="5" t="n"/>
      <c r="T410" s="6" t="n"/>
      <c r="U410" s="6" t="n"/>
      <c r="V410" s="6" t="n"/>
      <c r="W410" s="6" t="n"/>
      <c r="X410" s="6" t="n"/>
      <c r="Y410" s="6" t="n"/>
    </row>
    <row r="411" ht="22" customHeight="1">
      <c r="A411" s="5" t="n"/>
      <c r="B411" s="6" t="n"/>
      <c r="C411" s="5" t="n"/>
      <c r="D411" s="5" t="n"/>
      <c r="E411" s="5" t="n"/>
      <c r="F411" s="6" t="n"/>
      <c r="G411" s="6" t="n"/>
      <c r="H411" s="7">
        <f>IF(AND(F411="",G411=""),"", "Risk of """ &amp; F411 &amp; """ because of """ &amp; SUBSTITUTE(G411, ", ", """ and """) &amp; """")</f>
        <v/>
      </c>
      <c r="I411" s="5" t="n"/>
      <c r="J411" s="5" t="n"/>
      <c r="K411" s="5" t="n"/>
      <c r="L411" s="8">
        <f>IF(E411="Confidential", 4, IF(E411="Sensitive", 3, IF(E411="Private", 2, IF(E411="Public", 1, ""))))</f>
        <v/>
      </c>
      <c r="M411" s="5" t="n"/>
      <c r="N411" s="8">
        <f>IF(OR(L411="",M411=""), "", L411*M411)</f>
        <v/>
      </c>
      <c r="O411" s="8">
        <f>IF(N411="","", IF(N411&gt;6, "High", IF(N411&gt;=4, "Medium", "Low")))</f>
        <v/>
      </c>
      <c r="P411" s="6" t="n"/>
      <c r="Q411" s="5" t="n"/>
      <c r="R411" s="5" t="n"/>
      <c r="S411" s="5" t="n"/>
      <c r="T411" s="6" t="n"/>
      <c r="U411" s="6" t="n"/>
      <c r="V411" s="6" t="n"/>
      <c r="W411" s="6" t="n"/>
      <c r="X411" s="6" t="n"/>
      <c r="Y411" s="6" t="n"/>
    </row>
    <row r="412" ht="22" customHeight="1">
      <c r="A412" s="5" t="n"/>
      <c r="B412" s="6" t="n"/>
      <c r="C412" s="5" t="n"/>
      <c r="D412" s="5" t="n"/>
      <c r="E412" s="5" t="n"/>
      <c r="F412" s="6" t="n"/>
      <c r="G412" s="6" t="n"/>
      <c r="H412" s="7">
        <f>IF(AND(F412="",G412=""),"", "Risk of """ &amp; F412 &amp; """ because of """ &amp; SUBSTITUTE(G412, ", ", """ and """) &amp; """")</f>
        <v/>
      </c>
      <c r="I412" s="5" t="n"/>
      <c r="J412" s="5" t="n"/>
      <c r="K412" s="5" t="n"/>
      <c r="L412" s="8">
        <f>IF(E412="Confidential", 4, IF(E412="Sensitive", 3, IF(E412="Private", 2, IF(E412="Public", 1, ""))))</f>
        <v/>
      </c>
      <c r="M412" s="5" t="n"/>
      <c r="N412" s="8">
        <f>IF(OR(L412="",M412=""), "", L412*M412)</f>
        <v/>
      </c>
      <c r="O412" s="8">
        <f>IF(N412="","", IF(N412&gt;6, "High", IF(N412&gt;=4, "Medium", "Low")))</f>
        <v/>
      </c>
      <c r="P412" s="6" t="n"/>
      <c r="Q412" s="5" t="n"/>
      <c r="R412" s="5" t="n"/>
      <c r="S412" s="5" t="n"/>
      <c r="T412" s="6" t="n"/>
      <c r="U412" s="6" t="n"/>
      <c r="V412" s="6" t="n"/>
      <c r="W412" s="6" t="n"/>
      <c r="X412" s="6" t="n"/>
      <c r="Y412" s="6" t="n"/>
    </row>
    <row r="413" ht="22" customHeight="1">
      <c r="A413" s="5" t="n"/>
      <c r="B413" s="6" t="n"/>
      <c r="C413" s="5" t="n"/>
      <c r="D413" s="5" t="n"/>
      <c r="E413" s="5" t="n"/>
      <c r="F413" s="6" t="n"/>
      <c r="G413" s="6" t="n"/>
      <c r="H413" s="7">
        <f>IF(AND(F413="",G413=""),"", "Risk of """ &amp; F413 &amp; """ because of """ &amp; SUBSTITUTE(G413, ", ", """ and """) &amp; """")</f>
        <v/>
      </c>
      <c r="I413" s="5" t="n"/>
      <c r="J413" s="5" t="n"/>
      <c r="K413" s="5" t="n"/>
      <c r="L413" s="8">
        <f>IF(E413="Confidential", 4, IF(E413="Sensitive", 3, IF(E413="Private", 2, IF(E413="Public", 1, ""))))</f>
        <v/>
      </c>
      <c r="M413" s="5" t="n"/>
      <c r="N413" s="8">
        <f>IF(OR(L413="",M413=""), "", L413*M413)</f>
        <v/>
      </c>
      <c r="O413" s="8">
        <f>IF(N413="","", IF(N413&gt;6, "High", IF(N413&gt;=4, "Medium", "Low")))</f>
        <v/>
      </c>
      <c r="P413" s="6" t="n"/>
      <c r="Q413" s="5" t="n"/>
      <c r="R413" s="5" t="n"/>
      <c r="S413" s="5" t="n"/>
      <c r="T413" s="6" t="n"/>
      <c r="U413" s="6" t="n"/>
      <c r="V413" s="6" t="n"/>
      <c r="W413" s="6" t="n"/>
      <c r="X413" s="6" t="n"/>
      <c r="Y413" s="6" t="n"/>
    </row>
    <row r="414" ht="22" customHeight="1">
      <c r="A414" s="5" t="n"/>
      <c r="B414" s="6" t="n"/>
      <c r="C414" s="5" t="n"/>
      <c r="D414" s="5" t="n"/>
      <c r="E414" s="5" t="n"/>
      <c r="F414" s="6" t="n"/>
      <c r="G414" s="6" t="n"/>
      <c r="H414" s="7">
        <f>IF(AND(F414="",G414=""),"", "Risk of """ &amp; F414 &amp; """ because of """ &amp; SUBSTITUTE(G414, ", ", """ and """) &amp; """")</f>
        <v/>
      </c>
      <c r="I414" s="5" t="n"/>
      <c r="J414" s="5" t="n"/>
      <c r="K414" s="5" t="n"/>
      <c r="L414" s="8">
        <f>IF(E414="Confidential", 4, IF(E414="Sensitive", 3, IF(E414="Private", 2, IF(E414="Public", 1, ""))))</f>
        <v/>
      </c>
      <c r="M414" s="5" t="n"/>
      <c r="N414" s="8">
        <f>IF(OR(L414="",M414=""), "", L414*M414)</f>
        <v/>
      </c>
      <c r="O414" s="8">
        <f>IF(N414="","", IF(N414&gt;6, "High", IF(N414&gt;=4, "Medium", "Low")))</f>
        <v/>
      </c>
      <c r="P414" s="6" t="n"/>
      <c r="Q414" s="5" t="n"/>
      <c r="R414" s="5" t="n"/>
      <c r="S414" s="5" t="n"/>
      <c r="T414" s="6" t="n"/>
      <c r="U414" s="6" t="n"/>
      <c r="V414" s="6" t="n"/>
      <c r="W414" s="6" t="n"/>
      <c r="X414" s="6" t="n"/>
      <c r="Y414" s="6" t="n"/>
    </row>
    <row r="415" ht="22" customHeight="1">
      <c r="A415" s="5" t="n"/>
      <c r="B415" s="6" t="n"/>
      <c r="C415" s="5" t="n"/>
      <c r="D415" s="5" t="n"/>
      <c r="E415" s="5" t="n"/>
      <c r="F415" s="6" t="n"/>
      <c r="G415" s="6" t="n"/>
      <c r="H415" s="7">
        <f>IF(AND(F415="",G415=""),"", "Risk of """ &amp; F415 &amp; """ because of """ &amp; SUBSTITUTE(G415, ", ", """ and """) &amp; """")</f>
        <v/>
      </c>
      <c r="I415" s="5" t="n"/>
      <c r="J415" s="5" t="n"/>
      <c r="K415" s="5" t="n"/>
      <c r="L415" s="8">
        <f>IF(E415="Confidential", 4, IF(E415="Sensitive", 3, IF(E415="Private", 2, IF(E415="Public", 1, ""))))</f>
        <v/>
      </c>
      <c r="M415" s="5" t="n"/>
      <c r="N415" s="8">
        <f>IF(OR(L415="",M415=""), "", L415*M415)</f>
        <v/>
      </c>
      <c r="O415" s="8">
        <f>IF(N415="","", IF(N415&gt;6, "High", IF(N415&gt;=4, "Medium", "Low")))</f>
        <v/>
      </c>
      <c r="P415" s="6" t="n"/>
      <c r="Q415" s="5" t="n"/>
      <c r="R415" s="5" t="n"/>
      <c r="S415" s="5" t="n"/>
      <c r="T415" s="6" t="n"/>
      <c r="U415" s="6" t="n"/>
      <c r="V415" s="6" t="n"/>
      <c r="W415" s="6" t="n"/>
      <c r="X415" s="6" t="n"/>
      <c r="Y415" s="6" t="n"/>
    </row>
    <row r="416" ht="22" customHeight="1">
      <c r="A416" s="5" t="n"/>
      <c r="B416" s="6" t="n"/>
      <c r="C416" s="5" t="n"/>
      <c r="D416" s="5" t="n"/>
      <c r="E416" s="5" t="n"/>
      <c r="F416" s="6" t="n"/>
      <c r="G416" s="6" t="n"/>
      <c r="H416" s="7">
        <f>IF(AND(F416="",G416=""),"", "Risk of """ &amp; F416 &amp; """ because of """ &amp; SUBSTITUTE(G416, ", ", """ and """) &amp; """")</f>
        <v/>
      </c>
      <c r="I416" s="5" t="n"/>
      <c r="J416" s="5" t="n"/>
      <c r="K416" s="5" t="n"/>
      <c r="L416" s="8">
        <f>IF(E416="Confidential", 4, IF(E416="Sensitive", 3, IF(E416="Private", 2, IF(E416="Public", 1, ""))))</f>
        <v/>
      </c>
      <c r="M416" s="5" t="n"/>
      <c r="N416" s="8">
        <f>IF(OR(L416="",M416=""), "", L416*M416)</f>
        <v/>
      </c>
      <c r="O416" s="8">
        <f>IF(N416="","", IF(N416&gt;6, "High", IF(N416&gt;=4, "Medium", "Low")))</f>
        <v/>
      </c>
      <c r="P416" s="6" t="n"/>
      <c r="Q416" s="5" t="n"/>
      <c r="R416" s="5" t="n"/>
      <c r="S416" s="5" t="n"/>
      <c r="T416" s="6" t="n"/>
      <c r="U416" s="6" t="n"/>
      <c r="V416" s="6" t="n"/>
      <c r="W416" s="6" t="n"/>
      <c r="X416" s="6" t="n"/>
      <c r="Y416" s="6" t="n"/>
    </row>
    <row r="417" ht="22" customHeight="1">
      <c r="A417" s="5" t="n"/>
      <c r="B417" s="6" t="n"/>
      <c r="C417" s="5" t="n"/>
      <c r="D417" s="5" t="n"/>
      <c r="E417" s="5" t="n"/>
      <c r="F417" s="6" t="n"/>
      <c r="G417" s="6" t="n"/>
      <c r="H417" s="7">
        <f>IF(AND(F417="",G417=""),"", "Risk of """ &amp; F417 &amp; """ because of """ &amp; SUBSTITUTE(G417, ", ", """ and """) &amp; """")</f>
        <v/>
      </c>
      <c r="I417" s="5" t="n"/>
      <c r="J417" s="5" t="n"/>
      <c r="K417" s="5" t="n"/>
      <c r="L417" s="8">
        <f>IF(E417="Confidential", 4, IF(E417="Sensitive", 3, IF(E417="Private", 2, IF(E417="Public", 1, ""))))</f>
        <v/>
      </c>
      <c r="M417" s="5" t="n"/>
      <c r="N417" s="8">
        <f>IF(OR(L417="",M417=""), "", L417*M417)</f>
        <v/>
      </c>
      <c r="O417" s="8">
        <f>IF(N417="","", IF(N417&gt;6, "High", IF(N417&gt;=4, "Medium", "Low")))</f>
        <v/>
      </c>
      <c r="P417" s="6" t="n"/>
      <c r="Q417" s="5" t="n"/>
      <c r="R417" s="5" t="n"/>
      <c r="S417" s="5" t="n"/>
      <c r="T417" s="6" t="n"/>
      <c r="U417" s="6" t="n"/>
      <c r="V417" s="6" t="n"/>
      <c r="W417" s="6" t="n"/>
      <c r="X417" s="6" t="n"/>
      <c r="Y417" s="6" t="n"/>
    </row>
    <row r="418" ht="22" customHeight="1">
      <c r="A418" s="5" t="n"/>
      <c r="B418" s="6" t="n"/>
      <c r="C418" s="5" t="n"/>
      <c r="D418" s="5" t="n"/>
      <c r="E418" s="5" t="n"/>
      <c r="F418" s="6" t="n"/>
      <c r="G418" s="6" t="n"/>
      <c r="H418" s="7">
        <f>IF(AND(F418="",G418=""),"", "Risk of """ &amp; F418 &amp; """ because of """ &amp; SUBSTITUTE(G418, ", ", """ and """) &amp; """")</f>
        <v/>
      </c>
      <c r="I418" s="5" t="n"/>
      <c r="J418" s="5" t="n"/>
      <c r="K418" s="5" t="n"/>
      <c r="L418" s="8">
        <f>IF(E418="Confidential", 4, IF(E418="Sensitive", 3, IF(E418="Private", 2, IF(E418="Public", 1, ""))))</f>
        <v/>
      </c>
      <c r="M418" s="5" t="n"/>
      <c r="N418" s="8">
        <f>IF(OR(L418="",M418=""), "", L418*M418)</f>
        <v/>
      </c>
      <c r="O418" s="8">
        <f>IF(N418="","", IF(N418&gt;6, "High", IF(N418&gt;=4, "Medium", "Low")))</f>
        <v/>
      </c>
      <c r="P418" s="6" t="n"/>
      <c r="Q418" s="5" t="n"/>
      <c r="R418" s="5" t="n"/>
      <c r="S418" s="5" t="n"/>
      <c r="T418" s="6" t="n"/>
      <c r="U418" s="6" t="n"/>
      <c r="V418" s="6" t="n"/>
      <c r="W418" s="6" t="n"/>
      <c r="X418" s="6" t="n"/>
      <c r="Y418" s="6" t="n"/>
    </row>
    <row r="419" ht="22" customHeight="1">
      <c r="A419" s="5" t="n"/>
      <c r="B419" s="6" t="n"/>
      <c r="C419" s="5" t="n"/>
      <c r="D419" s="5" t="n"/>
      <c r="E419" s="5" t="n"/>
      <c r="F419" s="6" t="n"/>
      <c r="G419" s="6" t="n"/>
      <c r="H419" s="7">
        <f>IF(AND(F419="",G419=""),"", "Risk of """ &amp; F419 &amp; """ because of """ &amp; SUBSTITUTE(G419, ", ", """ and """) &amp; """")</f>
        <v/>
      </c>
      <c r="I419" s="5" t="n"/>
      <c r="J419" s="5" t="n"/>
      <c r="K419" s="5" t="n"/>
      <c r="L419" s="8">
        <f>IF(E419="Confidential", 4, IF(E419="Sensitive", 3, IF(E419="Private", 2, IF(E419="Public", 1, ""))))</f>
        <v/>
      </c>
      <c r="M419" s="5" t="n"/>
      <c r="N419" s="8">
        <f>IF(OR(L419="",M419=""), "", L419*M419)</f>
        <v/>
      </c>
      <c r="O419" s="8">
        <f>IF(N419="","", IF(N419&gt;6, "High", IF(N419&gt;=4, "Medium", "Low")))</f>
        <v/>
      </c>
      <c r="P419" s="6" t="n"/>
      <c r="Q419" s="5" t="n"/>
      <c r="R419" s="5" t="n"/>
      <c r="S419" s="5" t="n"/>
      <c r="T419" s="6" t="n"/>
      <c r="U419" s="6" t="n"/>
      <c r="V419" s="6" t="n"/>
      <c r="W419" s="6" t="n"/>
      <c r="X419" s="6" t="n"/>
      <c r="Y419" s="6" t="n"/>
    </row>
    <row r="420" ht="22" customHeight="1">
      <c r="A420" s="5" t="n"/>
      <c r="B420" s="6" t="n"/>
      <c r="C420" s="5" t="n"/>
      <c r="D420" s="5" t="n"/>
      <c r="E420" s="5" t="n"/>
      <c r="F420" s="6" t="n"/>
      <c r="G420" s="6" t="n"/>
      <c r="H420" s="7">
        <f>IF(AND(F420="",G420=""),"", "Risk of """ &amp; F420 &amp; """ because of """ &amp; SUBSTITUTE(G420, ", ", """ and """) &amp; """")</f>
        <v/>
      </c>
      <c r="I420" s="5" t="n"/>
      <c r="J420" s="5" t="n"/>
      <c r="K420" s="5" t="n"/>
      <c r="L420" s="8">
        <f>IF(E420="Confidential", 4, IF(E420="Sensitive", 3, IF(E420="Private", 2, IF(E420="Public", 1, ""))))</f>
        <v/>
      </c>
      <c r="M420" s="5" t="n"/>
      <c r="N420" s="8">
        <f>IF(OR(L420="",M420=""), "", L420*M420)</f>
        <v/>
      </c>
      <c r="O420" s="8">
        <f>IF(N420="","", IF(N420&gt;6, "High", IF(N420&gt;=4, "Medium", "Low")))</f>
        <v/>
      </c>
      <c r="P420" s="6" t="n"/>
      <c r="Q420" s="5" t="n"/>
      <c r="R420" s="5" t="n"/>
      <c r="S420" s="5" t="n"/>
      <c r="T420" s="6" t="n"/>
      <c r="U420" s="6" t="n"/>
      <c r="V420" s="6" t="n"/>
      <c r="W420" s="6" t="n"/>
      <c r="X420" s="6" t="n"/>
      <c r="Y420" s="6" t="n"/>
    </row>
    <row r="421" ht="22" customHeight="1">
      <c r="A421" s="5" t="n"/>
      <c r="B421" s="6" t="n"/>
      <c r="C421" s="5" t="n"/>
      <c r="D421" s="5" t="n"/>
      <c r="E421" s="5" t="n"/>
      <c r="F421" s="6" t="n"/>
      <c r="G421" s="6" t="n"/>
      <c r="H421" s="7">
        <f>IF(AND(F421="",G421=""),"", "Risk of """ &amp; F421 &amp; """ because of """ &amp; SUBSTITUTE(G421, ", ", """ and """) &amp; """")</f>
        <v/>
      </c>
      <c r="I421" s="5" t="n"/>
      <c r="J421" s="5" t="n"/>
      <c r="K421" s="5" t="n"/>
      <c r="L421" s="8">
        <f>IF(E421="Confidential", 4, IF(E421="Sensitive", 3, IF(E421="Private", 2, IF(E421="Public", 1, ""))))</f>
        <v/>
      </c>
      <c r="M421" s="5" t="n"/>
      <c r="N421" s="8">
        <f>IF(OR(L421="",M421=""), "", L421*M421)</f>
        <v/>
      </c>
      <c r="O421" s="8">
        <f>IF(N421="","", IF(N421&gt;6, "High", IF(N421&gt;=4, "Medium", "Low")))</f>
        <v/>
      </c>
      <c r="P421" s="6" t="n"/>
      <c r="Q421" s="5" t="n"/>
      <c r="R421" s="5" t="n"/>
      <c r="S421" s="5" t="n"/>
      <c r="T421" s="6" t="n"/>
      <c r="U421" s="6" t="n"/>
      <c r="V421" s="6" t="n"/>
      <c r="W421" s="6" t="n"/>
      <c r="X421" s="6" t="n"/>
      <c r="Y421" s="6" t="n"/>
    </row>
    <row r="422" ht="22" customHeight="1">
      <c r="A422" s="5" t="n"/>
      <c r="B422" s="6" t="n"/>
      <c r="C422" s="5" t="n"/>
      <c r="D422" s="5" t="n"/>
      <c r="E422" s="5" t="n"/>
      <c r="F422" s="6" t="n"/>
      <c r="G422" s="6" t="n"/>
      <c r="H422" s="7">
        <f>IF(AND(F422="",G422=""),"", "Risk of """ &amp; F422 &amp; """ because of """ &amp; SUBSTITUTE(G422, ", ", """ and """) &amp; """")</f>
        <v/>
      </c>
      <c r="I422" s="5" t="n"/>
      <c r="J422" s="5" t="n"/>
      <c r="K422" s="5" t="n"/>
      <c r="L422" s="8">
        <f>IF(E422="Confidential", 4, IF(E422="Sensitive", 3, IF(E422="Private", 2, IF(E422="Public", 1, ""))))</f>
        <v/>
      </c>
      <c r="M422" s="5" t="n"/>
      <c r="N422" s="8">
        <f>IF(OR(L422="",M422=""), "", L422*M422)</f>
        <v/>
      </c>
      <c r="O422" s="8">
        <f>IF(N422="","", IF(N422&gt;6, "High", IF(N422&gt;=4, "Medium", "Low")))</f>
        <v/>
      </c>
      <c r="P422" s="6" t="n"/>
      <c r="Q422" s="5" t="n"/>
      <c r="R422" s="5" t="n"/>
      <c r="S422" s="5" t="n"/>
      <c r="T422" s="6" t="n"/>
      <c r="U422" s="6" t="n"/>
      <c r="V422" s="6" t="n"/>
      <c r="W422" s="6" t="n"/>
      <c r="X422" s="6" t="n"/>
      <c r="Y422" s="6" t="n"/>
    </row>
    <row r="423" ht="22" customHeight="1">
      <c r="A423" s="5" t="n"/>
      <c r="B423" s="6" t="n"/>
      <c r="C423" s="5" t="n"/>
      <c r="D423" s="5" t="n"/>
      <c r="E423" s="5" t="n"/>
      <c r="F423" s="6" t="n"/>
      <c r="G423" s="6" t="n"/>
      <c r="H423" s="7">
        <f>IF(AND(F423="",G423=""),"", "Risk of """ &amp; F423 &amp; """ because of """ &amp; SUBSTITUTE(G423, ", ", """ and """) &amp; """")</f>
        <v/>
      </c>
      <c r="I423" s="5" t="n"/>
      <c r="J423" s="5" t="n"/>
      <c r="K423" s="5" t="n"/>
      <c r="L423" s="8">
        <f>IF(E423="Confidential", 4, IF(E423="Sensitive", 3, IF(E423="Private", 2, IF(E423="Public", 1, ""))))</f>
        <v/>
      </c>
      <c r="M423" s="5" t="n"/>
      <c r="N423" s="8">
        <f>IF(OR(L423="",M423=""), "", L423*M423)</f>
        <v/>
      </c>
      <c r="O423" s="8">
        <f>IF(N423="","", IF(N423&gt;6, "High", IF(N423&gt;=4, "Medium", "Low")))</f>
        <v/>
      </c>
      <c r="P423" s="6" t="n"/>
      <c r="Q423" s="5" t="n"/>
      <c r="R423" s="5" t="n"/>
      <c r="S423" s="5" t="n"/>
      <c r="T423" s="6" t="n"/>
      <c r="U423" s="6" t="n"/>
      <c r="V423" s="6" t="n"/>
      <c r="W423" s="6" t="n"/>
      <c r="X423" s="6" t="n"/>
      <c r="Y423" s="6" t="n"/>
    </row>
    <row r="424" ht="22" customHeight="1">
      <c r="A424" s="5" t="n"/>
      <c r="B424" s="6" t="n"/>
      <c r="C424" s="5" t="n"/>
      <c r="D424" s="5" t="n"/>
      <c r="E424" s="5" t="n"/>
      <c r="F424" s="6" t="n"/>
      <c r="G424" s="6" t="n"/>
      <c r="H424" s="7">
        <f>IF(AND(F424="",G424=""),"", "Risk of """ &amp; F424 &amp; """ because of """ &amp; SUBSTITUTE(G424, ", ", """ and """) &amp; """")</f>
        <v/>
      </c>
      <c r="I424" s="5" t="n"/>
      <c r="J424" s="5" t="n"/>
      <c r="K424" s="5" t="n"/>
      <c r="L424" s="8">
        <f>IF(E424="Confidential", 4, IF(E424="Sensitive", 3, IF(E424="Private", 2, IF(E424="Public", 1, ""))))</f>
        <v/>
      </c>
      <c r="M424" s="5" t="n"/>
      <c r="N424" s="8">
        <f>IF(OR(L424="",M424=""), "", L424*M424)</f>
        <v/>
      </c>
      <c r="O424" s="8">
        <f>IF(N424="","", IF(N424&gt;6, "High", IF(N424&gt;=4, "Medium", "Low")))</f>
        <v/>
      </c>
      <c r="P424" s="6" t="n"/>
      <c r="Q424" s="5" t="n"/>
      <c r="R424" s="5" t="n"/>
      <c r="S424" s="5" t="n"/>
      <c r="T424" s="6" t="n"/>
      <c r="U424" s="6" t="n"/>
      <c r="V424" s="6" t="n"/>
      <c r="W424" s="6" t="n"/>
      <c r="X424" s="6" t="n"/>
      <c r="Y424" s="6" t="n"/>
    </row>
    <row r="425" ht="22" customHeight="1">
      <c r="A425" s="5" t="n"/>
      <c r="B425" s="6" t="n"/>
      <c r="C425" s="5" t="n"/>
      <c r="D425" s="5" t="n"/>
      <c r="E425" s="5" t="n"/>
      <c r="F425" s="6" t="n"/>
      <c r="G425" s="6" t="n"/>
      <c r="H425" s="7">
        <f>IF(AND(F425="",G425=""),"", "Risk of """ &amp; F425 &amp; """ because of """ &amp; SUBSTITUTE(G425, ", ", """ and """) &amp; """")</f>
        <v/>
      </c>
      <c r="I425" s="5" t="n"/>
      <c r="J425" s="5" t="n"/>
      <c r="K425" s="5" t="n"/>
      <c r="L425" s="8">
        <f>IF(E425="Confidential", 4, IF(E425="Sensitive", 3, IF(E425="Private", 2, IF(E425="Public", 1, ""))))</f>
        <v/>
      </c>
      <c r="M425" s="5" t="n"/>
      <c r="N425" s="8">
        <f>IF(OR(L425="",M425=""), "", L425*M425)</f>
        <v/>
      </c>
      <c r="O425" s="8">
        <f>IF(N425="","", IF(N425&gt;6, "High", IF(N425&gt;=4, "Medium", "Low")))</f>
        <v/>
      </c>
      <c r="P425" s="6" t="n"/>
      <c r="Q425" s="5" t="n"/>
      <c r="R425" s="5" t="n"/>
      <c r="S425" s="5" t="n"/>
      <c r="T425" s="6" t="n"/>
      <c r="U425" s="6" t="n"/>
      <c r="V425" s="6" t="n"/>
      <c r="W425" s="6" t="n"/>
      <c r="X425" s="6" t="n"/>
      <c r="Y425" s="6" t="n"/>
    </row>
    <row r="426" ht="22" customHeight="1">
      <c r="A426" s="5" t="n"/>
      <c r="B426" s="6" t="n"/>
      <c r="C426" s="5" t="n"/>
      <c r="D426" s="5" t="n"/>
      <c r="E426" s="5" t="n"/>
      <c r="F426" s="6" t="n"/>
      <c r="G426" s="6" t="n"/>
      <c r="H426" s="7">
        <f>IF(AND(F426="",G426=""),"", "Risk of """ &amp; F426 &amp; """ because of """ &amp; SUBSTITUTE(G426, ", ", """ and """) &amp; """")</f>
        <v/>
      </c>
      <c r="I426" s="5" t="n"/>
      <c r="J426" s="5" t="n"/>
      <c r="K426" s="5" t="n"/>
      <c r="L426" s="8">
        <f>IF(E426="Confidential", 4, IF(E426="Sensitive", 3, IF(E426="Private", 2, IF(E426="Public", 1, ""))))</f>
        <v/>
      </c>
      <c r="M426" s="5" t="n"/>
      <c r="N426" s="8">
        <f>IF(OR(L426="",M426=""), "", L426*M426)</f>
        <v/>
      </c>
      <c r="O426" s="8">
        <f>IF(N426="","", IF(N426&gt;6, "High", IF(N426&gt;=4, "Medium", "Low")))</f>
        <v/>
      </c>
      <c r="P426" s="6" t="n"/>
      <c r="Q426" s="5" t="n"/>
      <c r="R426" s="5" t="n"/>
      <c r="S426" s="5" t="n"/>
      <c r="T426" s="6" t="n"/>
      <c r="U426" s="6" t="n"/>
      <c r="V426" s="6" t="n"/>
      <c r="W426" s="6" t="n"/>
      <c r="X426" s="6" t="n"/>
      <c r="Y426" s="6" t="n"/>
    </row>
    <row r="427" ht="22" customHeight="1">
      <c r="A427" s="5" t="n"/>
      <c r="B427" s="6" t="n"/>
      <c r="C427" s="5" t="n"/>
      <c r="D427" s="5" t="n"/>
      <c r="E427" s="5" t="n"/>
      <c r="F427" s="6" t="n"/>
      <c r="G427" s="6" t="n"/>
      <c r="H427" s="7">
        <f>IF(AND(F427="",G427=""),"", "Risk of """ &amp; F427 &amp; """ because of """ &amp; SUBSTITUTE(G427, ", ", """ and """) &amp; """")</f>
        <v/>
      </c>
      <c r="I427" s="5" t="n"/>
      <c r="J427" s="5" t="n"/>
      <c r="K427" s="5" t="n"/>
      <c r="L427" s="8">
        <f>IF(E427="Confidential", 4, IF(E427="Sensitive", 3, IF(E427="Private", 2, IF(E427="Public", 1, ""))))</f>
        <v/>
      </c>
      <c r="M427" s="5" t="n"/>
      <c r="N427" s="8">
        <f>IF(OR(L427="",M427=""), "", L427*M427)</f>
        <v/>
      </c>
      <c r="O427" s="8">
        <f>IF(N427="","", IF(N427&gt;6, "High", IF(N427&gt;=4, "Medium", "Low")))</f>
        <v/>
      </c>
      <c r="P427" s="6" t="n"/>
      <c r="Q427" s="5" t="n"/>
      <c r="R427" s="5" t="n"/>
      <c r="S427" s="5" t="n"/>
      <c r="T427" s="6" t="n"/>
      <c r="U427" s="6" t="n"/>
      <c r="V427" s="6" t="n"/>
      <c r="W427" s="6" t="n"/>
      <c r="X427" s="6" t="n"/>
      <c r="Y427" s="6" t="n"/>
    </row>
    <row r="428" ht="22" customHeight="1">
      <c r="A428" s="5" t="n"/>
      <c r="B428" s="6" t="n"/>
      <c r="C428" s="5" t="n"/>
      <c r="D428" s="5" t="n"/>
      <c r="E428" s="5" t="n"/>
      <c r="F428" s="6" t="n"/>
      <c r="G428" s="6" t="n"/>
      <c r="H428" s="7">
        <f>IF(AND(F428="",G428=""),"", "Risk of """ &amp; F428 &amp; """ because of """ &amp; SUBSTITUTE(G428, ", ", """ and """) &amp; """")</f>
        <v/>
      </c>
      <c r="I428" s="5" t="n"/>
      <c r="J428" s="5" t="n"/>
      <c r="K428" s="5" t="n"/>
      <c r="L428" s="8">
        <f>IF(E428="Confidential", 4, IF(E428="Sensitive", 3, IF(E428="Private", 2, IF(E428="Public", 1, ""))))</f>
        <v/>
      </c>
      <c r="M428" s="5" t="n"/>
      <c r="N428" s="8">
        <f>IF(OR(L428="",M428=""), "", L428*M428)</f>
        <v/>
      </c>
      <c r="O428" s="8">
        <f>IF(N428="","", IF(N428&gt;6, "High", IF(N428&gt;=4, "Medium", "Low")))</f>
        <v/>
      </c>
      <c r="P428" s="6" t="n"/>
      <c r="Q428" s="5" t="n"/>
      <c r="R428" s="5" t="n"/>
      <c r="S428" s="5" t="n"/>
      <c r="T428" s="6" t="n"/>
      <c r="U428" s="6" t="n"/>
      <c r="V428" s="6" t="n"/>
      <c r="W428" s="6" t="n"/>
      <c r="X428" s="6" t="n"/>
      <c r="Y428" s="6" t="n"/>
    </row>
    <row r="429" ht="22" customHeight="1">
      <c r="A429" s="5" t="n"/>
      <c r="B429" s="6" t="n"/>
      <c r="C429" s="5" t="n"/>
      <c r="D429" s="5" t="n"/>
      <c r="E429" s="5" t="n"/>
      <c r="F429" s="6" t="n"/>
      <c r="G429" s="6" t="n"/>
      <c r="H429" s="7">
        <f>IF(AND(F429="",G429=""),"", "Risk of """ &amp; F429 &amp; """ because of """ &amp; SUBSTITUTE(G429, ", ", """ and """) &amp; """")</f>
        <v/>
      </c>
      <c r="I429" s="5" t="n"/>
      <c r="J429" s="5" t="n"/>
      <c r="K429" s="5" t="n"/>
      <c r="L429" s="8">
        <f>IF(E429="Confidential", 4, IF(E429="Sensitive", 3, IF(E429="Private", 2, IF(E429="Public", 1, ""))))</f>
        <v/>
      </c>
      <c r="M429" s="5" t="n"/>
      <c r="N429" s="8">
        <f>IF(OR(L429="",M429=""), "", L429*M429)</f>
        <v/>
      </c>
      <c r="O429" s="8">
        <f>IF(N429="","", IF(N429&gt;6, "High", IF(N429&gt;=4, "Medium", "Low")))</f>
        <v/>
      </c>
      <c r="P429" s="6" t="n"/>
      <c r="Q429" s="5" t="n"/>
      <c r="R429" s="5" t="n"/>
      <c r="S429" s="5" t="n"/>
      <c r="T429" s="6" t="n"/>
      <c r="U429" s="6" t="n"/>
      <c r="V429" s="6" t="n"/>
      <c r="W429" s="6" t="n"/>
      <c r="X429" s="6" t="n"/>
      <c r="Y429" s="6" t="n"/>
    </row>
    <row r="430" ht="22" customHeight="1">
      <c r="A430" s="5" t="n"/>
      <c r="B430" s="6" t="n"/>
      <c r="C430" s="5" t="n"/>
      <c r="D430" s="5" t="n"/>
      <c r="E430" s="5" t="n"/>
      <c r="F430" s="6" t="n"/>
      <c r="G430" s="6" t="n"/>
      <c r="H430" s="7">
        <f>IF(AND(F430="",G430=""),"", "Risk of """ &amp; F430 &amp; """ because of """ &amp; SUBSTITUTE(G430, ", ", """ and """) &amp; """")</f>
        <v/>
      </c>
      <c r="I430" s="5" t="n"/>
      <c r="J430" s="5" t="n"/>
      <c r="K430" s="5" t="n"/>
      <c r="L430" s="8">
        <f>IF(E430="Confidential", 4, IF(E430="Sensitive", 3, IF(E430="Private", 2, IF(E430="Public", 1, ""))))</f>
        <v/>
      </c>
      <c r="M430" s="5" t="n"/>
      <c r="N430" s="8">
        <f>IF(OR(L430="",M430=""), "", L430*M430)</f>
        <v/>
      </c>
      <c r="O430" s="8">
        <f>IF(N430="","", IF(N430&gt;6, "High", IF(N430&gt;=4, "Medium", "Low")))</f>
        <v/>
      </c>
      <c r="P430" s="6" t="n"/>
      <c r="Q430" s="5" t="n"/>
      <c r="R430" s="5" t="n"/>
      <c r="S430" s="5" t="n"/>
      <c r="T430" s="6" t="n"/>
      <c r="U430" s="6" t="n"/>
      <c r="V430" s="6" t="n"/>
      <c r="W430" s="6" t="n"/>
      <c r="X430" s="6" t="n"/>
      <c r="Y430" s="6" t="n"/>
    </row>
    <row r="431" ht="22" customHeight="1">
      <c r="A431" s="5" t="n"/>
      <c r="B431" s="6" t="n"/>
      <c r="C431" s="5" t="n"/>
      <c r="D431" s="5" t="n"/>
      <c r="E431" s="5" t="n"/>
      <c r="F431" s="6" t="n"/>
      <c r="G431" s="6" t="n"/>
      <c r="H431" s="7">
        <f>IF(AND(F431="",G431=""),"", "Risk of """ &amp; F431 &amp; """ because of """ &amp; SUBSTITUTE(G431, ", ", """ and """) &amp; """")</f>
        <v/>
      </c>
      <c r="I431" s="5" t="n"/>
      <c r="J431" s="5" t="n"/>
      <c r="K431" s="5" t="n"/>
      <c r="L431" s="8">
        <f>IF(E431="Confidential", 4, IF(E431="Sensitive", 3, IF(E431="Private", 2, IF(E431="Public", 1, ""))))</f>
        <v/>
      </c>
      <c r="M431" s="5" t="n"/>
      <c r="N431" s="8">
        <f>IF(OR(L431="",M431=""), "", L431*M431)</f>
        <v/>
      </c>
      <c r="O431" s="8">
        <f>IF(N431="","", IF(N431&gt;6, "High", IF(N431&gt;=4, "Medium", "Low")))</f>
        <v/>
      </c>
      <c r="P431" s="6" t="n"/>
      <c r="Q431" s="5" t="n"/>
      <c r="R431" s="5" t="n"/>
      <c r="S431" s="5" t="n"/>
      <c r="T431" s="6" t="n"/>
      <c r="U431" s="6" t="n"/>
      <c r="V431" s="6" t="n"/>
      <c r="W431" s="6" t="n"/>
      <c r="X431" s="6" t="n"/>
      <c r="Y431" s="6" t="n"/>
    </row>
    <row r="432" ht="22" customHeight="1">
      <c r="A432" s="5" t="n"/>
      <c r="B432" s="6" t="n"/>
      <c r="C432" s="5" t="n"/>
      <c r="D432" s="5" t="n"/>
      <c r="E432" s="5" t="n"/>
      <c r="F432" s="6" t="n"/>
      <c r="G432" s="6" t="n"/>
      <c r="H432" s="7">
        <f>IF(AND(F432="",G432=""),"", "Risk of """ &amp; F432 &amp; """ because of """ &amp; SUBSTITUTE(G432, ", ", """ and """) &amp; """")</f>
        <v/>
      </c>
      <c r="I432" s="5" t="n"/>
      <c r="J432" s="5" t="n"/>
      <c r="K432" s="5" t="n"/>
      <c r="L432" s="8">
        <f>IF(E432="Confidential", 4, IF(E432="Sensitive", 3, IF(E432="Private", 2, IF(E432="Public", 1, ""))))</f>
        <v/>
      </c>
      <c r="M432" s="5" t="n"/>
      <c r="N432" s="8">
        <f>IF(OR(L432="",M432=""), "", L432*M432)</f>
        <v/>
      </c>
      <c r="O432" s="8">
        <f>IF(N432="","", IF(N432&gt;6, "High", IF(N432&gt;=4, "Medium", "Low")))</f>
        <v/>
      </c>
      <c r="P432" s="6" t="n"/>
      <c r="Q432" s="5" t="n"/>
      <c r="R432" s="5" t="n"/>
      <c r="S432" s="5" t="n"/>
      <c r="T432" s="6" t="n"/>
      <c r="U432" s="6" t="n"/>
      <c r="V432" s="6" t="n"/>
      <c r="W432" s="6" t="n"/>
      <c r="X432" s="6" t="n"/>
      <c r="Y432" s="6" t="n"/>
    </row>
    <row r="433" ht="22" customHeight="1">
      <c r="A433" s="5" t="n"/>
      <c r="B433" s="6" t="n"/>
      <c r="C433" s="5" t="n"/>
      <c r="D433" s="5" t="n"/>
      <c r="E433" s="5" t="n"/>
      <c r="F433" s="6" t="n"/>
      <c r="G433" s="6" t="n"/>
      <c r="H433" s="7">
        <f>IF(AND(F433="",G433=""),"", "Risk of """ &amp; F433 &amp; """ because of """ &amp; SUBSTITUTE(G433, ", ", """ and """) &amp; """")</f>
        <v/>
      </c>
      <c r="I433" s="5" t="n"/>
      <c r="J433" s="5" t="n"/>
      <c r="K433" s="5" t="n"/>
      <c r="L433" s="8">
        <f>IF(E433="Confidential", 4, IF(E433="Sensitive", 3, IF(E433="Private", 2, IF(E433="Public", 1, ""))))</f>
        <v/>
      </c>
      <c r="M433" s="5" t="n"/>
      <c r="N433" s="8">
        <f>IF(OR(L433="",M433=""), "", L433*M433)</f>
        <v/>
      </c>
      <c r="O433" s="8">
        <f>IF(N433="","", IF(N433&gt;6, "High", IF(N433&gt;=4, "Medium", "Low")))</f>
        <v/>
      </c>
      <c r="P433" s="6" t="n"/>
      <c r="Q433" s="5" t="n"/>
      <c r="R433" s="5" t="n"/>
      <c r="S433" s="5" t="n"/>
      <c r="T433" s="6" t="n"/>
      <c r="U433" s="6" t="n"/>
      <c r="V433" s="6" t="n"/>
      <c r="W433" s="6" t="n"/>
      <c r="X433" s="6" t="n"/>
      <c r="Y433" s="6" t="n"/>
    </row>
    <row r="434" ht="22" customHeight="1">
      <c r="A434" s="5" t="n"/>
      <c r="B434" s="6" t="n"/>
      <c r="C434" s="5" t="n"/>
      <c r="D434" s="5" t="n"/>
      <c r="E434" s="5" t="n"/>
      <c r="F434" s="6" t="n"/>
      <c r="G434" s="6" t="n"/>
      <c r="H434" s="7">
        <f>IF(AND(F434="",G434=""),"", "Risk of """ &amp; F434 &amp; """ because of """ &amp; SUBSTITUTE(G434, ", ", """ and """) &amp; """")</f>
        <v/>
      </c>
      <c r="I434" s="5" t="n"/>
      <c r="J434" s="5" t="n"/>
      <c r="K434" s="5" t="n"/>
      <c r="L434" s="8">
        <f>IF(E434="Confidential", 4, IF(E434="Sensitive", 3, IF(E434="Private", 2, IF(E434="Public", 1, ""))))</f>
        <v/>
      </c>
      <c r="M434" s="5" t="n"/>
      <c r="N434" s="8">
        <f>IF(OR(L434="",M434=""), "", L434*M434)</f>
        <v/>
      </c>
      <c r="O434" s="8">
        <f>IF(N434="","", IF(N434&gt;6, "High", IF(N434&gt;=4, "Medium", "Low")))</f>
        <v/>
      </c>
      <c r="P434" s="6" t="n"/>
      <c r="Q434" s="5" t="n"/>
      <c r="R434" s="5" t="n"/>
      <c r="S434" s="5" t="n"/>
      <c r="T434" s="6" t="n"/>
      <c r="U434" s="6" t="n"/>
      <c r="V434" s="6" t="n"/>
      <c r="W434" s="6" t="n"/>
      <c r="X434" s="6" t="n"/>
      <c r="Y434" s="6" t="n"/>
    </row>
    <row r="435" ht="22" customHeight="1">
      <c r="A435" s="5" t="n"/>
      <c r="B435" s="6" t="n"/>
      <c r="C435" s="5" t="n"/>
      <c r="D435" s="5" t="n"/>
      <c r="E435" s="5" t="n"/>
      <c r="F435" s="6" t="n"/>
      <c r="G435" s="6" t="n"/>
      <c r="H435" s="7">
        <f>IF(AND(F435="",G435=""),"", "Risk of """ &amp; F435 &amp; """ because of """ &amp; SUBSTITUTE(G435, ", ", """ and """) &amp; """")</f>
        <v/>
      </c>
      <c r="I435" s="5" t="n"/>
      <c r="J435" s="5" t="n"/>
      <c r="K435" s="5" t="n"/>
      <c r="L435" s="8">
        <f>IF(E435="Confidential", 4, IF(E435="Sensitive", 3, IF(E435="Private", 2, IF(E435="Public", 1, ""))))</f>
        <v/>
      </c>
      <c r="M435" s="5" t="n"/>
      <c r="N435" s="8">
        <f>IF(OR(L435="",M435=""), "", L435*M435)</f>
        <v/>
      </c>
      <c r="O435" s="8">
        <f>IF(N435="","", IF(N435&gt;6, "High", IF(N435&gt;=4, "Medium", "Low")))</f>
        <v/>
      </c>
      <c r="P435" s="6" t="n"/>
      <c r="Q435" s="5" t="n"/>
      <c r="R435" s="5" t="n"/>
      <c r="S435" s="5" t="n"/>
      <c r="T435" s="6" t="n"/>
      <c r="U435" s="6" t="n"/>
      <c r="V435" s="6" t="n"/>
      <c r="W435" s="6" t="n"/>
      <c r="X435" s="6" t="n"/>
      <c r="Y435" s="6" t="n"/>
    </row>
    <row r="436" ht="22" customHeight="1">
      <c r="A436" s="5" t="n"/>
      <c r="B436" s="6" t="n"/>
      <c r="C436" s="5" t="n"/>
      <c r="D436" s="5" t="n"/>
      <c r="E436" s="5" t="n"/>
      <c r="F436" s="6" t="n"/>
      <c r="G436" s="6" t="n"/>
      <c r="H436" s="7">
        <f>IF(AND(F436="",G436=""),"", "Risk of """ &amp; F436 &amp; """ because of """ &amp; SUBSTITUTE(G436, ", ", """ and """) &amp; """")</f>
        <v/>
      </c>
      <c r="I436" s="5" t="n"/>
      <c r="J436" s="5" t="n"/>
      <c r="K436" s="5" t="n"/>
      <c r="L436" s="8">
        <f>IF(E436="Confidential", 4, IF(E436="Sensitive", 3, IF(E436="Private", 2, IF(E436="Public", 1, ""))))</f>
        <v/>
      </c>
      <c r="M436" s="5" t="n"/>
      <c r="N436" s="8">
        <f>IF(OR(L436="",M436=""), "", L436*M436)</f>
        <v/>
      </c>
      <c r="O436" s="8">
        <f>IF(N436="","", IF(N436&gt;6, "High", IF(N436&gt;=4, "Medium", "Low")))</f>
        <v/>
      </c>
      <c r="P436" s="6" t="n"/>
      <c r="Q436" s="5" t="n"/>
      <c r="R436" s="5" t="n"/>
      <c r="S436" s="5" t="n"/>
      <c r="T436" s="6" t="n"/>
      <c r="U436" s="6" t="n"/>
      <c r="V436" s="6" t="n"/>
      <c r="W436" s="6" t="n"/>
      <c r="X436" s="6" t="n"/>
      <c r="Y436" s="6" t="n"/>
    </row>
    <row r="437" ht="22" customHeight="1">
      <c r="A437" s="5" t="n"/>
      <c r="B437" s="6" t="n"/>
      <c r="C437" s="5" t="n"/>
      <c r="D437" s="5" t="n"/>
      <c r="E437" s="5" t="n"/>
      <c r="F437" s="6" t="n"/>
      <c r="G437" s="6" t="n"/>
      <c r="H437" s="7">
        <f>IF(AND(F437="",G437=""),"", "Risk of """ &amp; F437 &amp; """ because of """ &amp; SUBSTITUTE(G437, ", ", """ and """) &amp; """")</f>
        <v/>
      </c>
      <c r="I437" s="5" t="n"/>
      <c r="J437" s="5" t="n"/>
      <c r="K437" s="5" t="n"/>
      <c r="L437" s="8">
        <f>IF(E437="Confidential", 4, IF(E437="Sensitive", 3, IF(E437="Private", 2, IF(E437="Public", 1, ""))))</f>
        <v/>
      </c>
      <c r="M437" s="5" t="n"/>
      <c r="N437" s="8">
        <f>IF(OR(L437="",M437=""), "", L437*M437)</f>
        <v/>
      </c>
      <c r="O437" s="8">
        <f>IF(N437="","", IF(N437&gt;6, "High", IF(N437&gt;=4, "Medium", "Low")))</f>
        <v/>
      </c>
      <c r="P437" s="6" t="n"/>
      <c r="Q437" s="5" t="n"/>
      <c r="R437" s="5" t="n"/>
      <c r="S437" s="5" t="n"/>
      <c r="T437" s="6" t="n"/>
      <c r="U437" s="6" t="n"/>
      <c r="V437" s="6" t="n"/>
      <c r="W437" s="6" t="n"/>
      <c r="X437" s="6" t="n"/>
      <c r="Y437" s="6" t="n"/>
    </row>
    <row r="438" ht="22" customHeight="1">
      <c r="A438" s="5" t="n"/>
      <c r="B438" s="6" t="n"/>
      <c r="C438" s="5" t="n"/>
      <c r="D438" s="5" t="n"/>
      <c r="E438" s="5" t="n"/>
      <c r="F438" s="6" t="n"/>
      <c r="G438" s="6" t="n"/>
      <c r="H438" s="7">
        <f>IF(AND(F438="",G438=""),"", "Risk of """ &amp; F438 &amp; """ because of """ &amp; SUBSTITUTE(G438, ", ", """ and """) &amp; """")</f>
        <v/>
      </c>
      <c r="I438" s="5" t="n"/>
      <c r="J438" s="5" t="n"/>
      <c r="K438" s="5" t="n"/>
      <c r="L438" s="8">
        <f>IF(E438="Confidential", 4, IF(E438="Sensitive", 3, IF(E438="Private", 2, IF(E438="Public", 1, ""))))</f>
        <v/>
      </c>
      <c r="M438" s="5" t="n"/>
      <c r="N438" s="8">
        <f>IF(OR(L438="",M438=""), "", L438*M438)</f>
        <v/>
      </c>
      <c r="O438" s="8">
        <f>IF(N438="","", IF(N438&gt;6, "High", IF(N438&gt;=4, "Medium", "Low")))</f>
        <v/>
      </c>
      <c r="P438" s="6" t="n"/>
      <c r="Q438" s="5" t="n"/>
      <c r="R438" s="5" t="n"/>
      <c r="S438" s="5" t="n"/>
      <c r="T438" s="6" t="n"/>
      <c r="U438" s="6" t="n"/>
      <c r="V438" s="6" t="n"/>
      <c r="W438" s="6" t="n"/>
      <c r="X438" s="6" t="n"/>
      <c r="Y438" s="6" t="n"/>
    </row>
    <row r="439" ht="22" customHeight="1">
      <c r="A439" s="5" t="n"/>
      <c r="B439" s="6" t="n"/>
      <c r="C439" s="5" t="n"/>
      <c r="D439" s="5" t="n"/>
      <c r="E439" s="5" t="n"/>
      <c r="F439" s="6" t="n"/>
      <c r="G439" s="6" t="n"/>
      <c r="H439" s="7">
        <f>IF(AND(F439="",G439=""),"", "Risk of """ &amp; F439 &amp; """ because of """ &amp; SUBSTITUTE(G439, ", ", """ and """) &amp; """")</f>
        <v/>
      </c>
      <c r="I439" s="5" t="n"/>
      <c r="J439" s="5" t="n"/>
      <c r="K439" s="5" t="n"/>
      <c r="L439" s="8">
        <f>IF(E439="Confidential", 4, IF(E439="Sensitive", 3, IF(E439="Private", 2, IF(E439="Public", 1, ""))))</f>
        <v/>
      </c>
      <c r="M439" s="5" t="n"/>
      <c r="N439" s="8">
        <f>IF(OR(L439="",M439=""), "", L439*M439)</f>
        <v/>
      </c>
      <c r="O439" s="8">
        <f>IF(N439="","", IF(N439&gt;6, "High", IF(N439&gt;=4, "Medium", "Low")))</f>
        <v/>
      </c>
      <c r="P439" s="6" t="n"/>
      <c r="Q439" s="5" t="n"/>
      <c r="R439" s="5" t="n"/>
      <c r="S439" s="5" t="n"/>
      <c r="T439" s="6" t="n"/>
      <c r="U439" s="6" t="n"/>
      <c r="V439" s="6" t="n"/>
      <c r="W439" s="6" t="n"/>
      <c r="X439" s="6" t="n"/>
      <c r="Y439" s="6" t="n"/>
    </row>
    <row r="440" ht="22" customHeight="1">
      <c r="A440" s="5" t="n"/>
      <c r="B440" s="6" t="n"/>
      <c r="C440" s="5" t="n"/>
      <c r="D440" s="5" t="n"/>
      <c r="E440" s="5" t="n"/>
      <c r="F440" s="6" t="n"/>
      <c r="G440" s="6" t="n"/>
      <c r="H440" s="7">
        <f>IF(AND(F440="",G440=""),"", "Risk of """ &amp; F440 &amp; """ because of """ &amp; SUBSTITUTE(G440, ", ", """ and """) &amp; """")</f>
        <v/>
      </c>
      <c r="I440" s="5" t="n"/>
      <c r="J440" s="5" t="n"/>
      <c r="K440" s="5" t="n"/>
      <c r="L440" s="8">
        <f>IF(E440="Confidential", 4, IF(E440="Sensitive", 3, IF(E440="Private", 2, IF(E440="Public", 1, ""))))</f>
        <v/>
      </c>
      <c r="M440" s="5" t="n"/>
      <c r="N440" s="8">
        <f>IF(OR(L440="",M440=""), "", L440*M440)</f>
        <v/>
      </c>
      <c r="O440" s="8">
        <f>IF(N440="","", IF(N440&gt;6, "High", IF(N440&gt;=4, "Medium", "Low")))</f>
        <v/>
      </c>
      <c r="P440" s="6" t="n"/>
      <c r="Q440" s="5" t="n"/>
      <c r="R440" s="5" t="n"/>
      <c r="S440" s="5" t="n"/>
      <c r="T440" s="6" t="n"/>
      <c r="U440" s="6" t="n"/>
      <c r="V440" s="6" t="n"/>
      <c r="W440" s="6" t="n"/>
      <c r="X440" s="6" t="n"/>
      <c r="Y440" s="6" t="n"/>
    </row>
    <row r="441" ht="22" customHeight="1">
      <c r="A441" s="5" t="n"/>
      <c r="B441" s="6" t="n"/>
      <c r="C441" s="5" t="n"/>
      <c r="D441" s="5" t="n"/>
      <c r="E441" s="5" t="n"/>
      <c r="F441" s="6" t="n"/>
      <c r="G441" s="6" t="n"/>
      <c r="H441" s="7">
        <f>IF(AND(F441="",G441=""),"", "Risk of """ &amp; F441 &amp; """ because of """ &amp; SUBSTITUTE(G441, ", ", """ and """) &amp; """")</f>
        <v/>
      </c>
      <c r="I441" s="5" t="n"/>
      <c r="J441" s="5" t="n"/>
      <c r="K441" s="5" t="n"/>
      <c r="L441" s="8">
        <f>IF(E441="Confidential", 4, IF(E441="Sensitive", 3, IF(E441="Private", 2, IF(E441="Public", 1, ""))))</f>
        <v/>
      </c>
      <c r="M441" s="5" t="n"/>
      <c r="N441" s="8">
        <f>IF(OR(L441="",M441=""), "", L441*M441)</f>
        <v/>
      </c>
      <c r="O441" s="8">
        <f>IF(N441="","", IF(N441&gt;6, "High", IF(N441&gt;=4, "Medium", "Low")))</f>
        <v/>
      </c>
      <c r="P441" s="6" t="n"/>
      <c r="Q441" s="5" t="n"/>
      <c r="R441" s="5" t="n"/>
      <c r="S441" s="5" t="n"/>
      <c r="T441" s="6" t="n"/>
      <c r="U441" s="6" t="n"/>
      <c r="V441" s="6" t="n"/>
      <c r="W441" s="6" t="n"/>
      <c r="X441" s="6" t="n"/>
      <c r="Y441" s="6" t="n"/>
    </row>
    <row r="442" ht="22" customHeight="1">
      <c r="A442" s="5" t="n"/>
      <c r="B442" s="6" t="n"/>
      <c r="C442" s="5" t="n"/>
      <c r="D442" s="5" t="n"/>
      <c r="E442" s="5" t="n"/>
      <c r="F442" s="6" t="n"/>
      <c r="G442" s="6" t="n"/>
      <c r="H442" s="7">
        <f>IF(AND(F442="",G442=""),"", "Risk of """ &amp; F442 &amp; """ because of """ &amp; SUBSTITUTE(G442, ", ", """ and """) &amp; """")</f>
        <v/>
      </c>
      <c r="I442" s="5" t="n"/>
      <c r="J442" s="5" t="n"/>
      <c r="K442" s="5" t="n"/>
      <c r="L442" s="8">
        <f>IF(E442="Confidential", 4, IF(E442="Sensitive", 3, IF(E442="Private", 2, IF(E442="Public", 1, ""))))</f>
        <v/>
      </c>
      <c r="M442" s="5" t="n"/>
      <c r="N442" s="8">
        <f>IF(OR(L442="",M442=""), "", L442*M442)</f>
        <v/>
      </c>
      <c r="O442" s="8">
        <f>IF(N442="","", IF(N442&gt;6, "High", IF(N442&gt;=4, "Medium", "Low")))</f>
        <v/>
      </c>
      <c r="P442" s="6" t="n"/>
      <c r="Q442" s="5" t="n"/>
      <c r="R442" s="5" t="n"/>
      <c r="S442" s="5" t="n"/>
      <c r="T442" s="6" t="n"/>
      <c r="U442" s="6" t="n"/>
      <c r="V442" s="6" t="n"/>
      <c r="W442" s="6" t="n"/>
      <c r="X442" s="6" t="n"/>
      <c r="Y442" s="6" t="n"/>
    </row>
    <row r="443" ht="22" customHeight="1">
      <c r="A443" s="5" t="n"/>
      <c r="B443" s="6" t="n"/>
      <c r="C443" s="5" t="n"/>
      <c r="D443" s="5" t="n"/>
      <c r="E443" s="5" t="n"/>
      <c r="F443" s="6" t="n"/>
      <c r="G443" s="6" t="n"/>
      <c r="H443" s="7">
        <f>IF(AND(F443="",G443=""),"", "Risk of """ &amp; F443 &amp; """ because of """ &amp; SUBSTITUTE(G443, ", ", """ and """) &amp; """")</f>
        <v/>
      </c>
      <c r="I443" s="5" t="n"/>
      <c r="J443" s="5" t="n"/>
      <c r="K443" s="5" t="n"/>
      <c r="L443" s="8">
        <f>IF(E443="Confidential", 4, IF(E443="Sensitive", 3, IF(E443="Private", 2, IF(E443="Public", 1, ""))))</f>
        <v/>
      </c>
      <c r="M443" s="5" t="n"/>
      <c r="N443" s="8">
        <f>IF(OR(L443="",M443=""), "", L443*M443)</f>
        <v/>
      </c>
      <c r="O443" s="8">
        <f>IF(N443="","", IF(N443&gt;6, "High", IF(N443&gt;=4, "Medium", "Low")))</f>
        <v/>
      </c>
      <c r="P443" s="6" t="n"/>
      <c r="Q443" s="5" t="n"/>
      <c r="R443" s="5" t="n"/>
      <c r="S443" s="5" t="n"/>
      <c r="T443" s="6" t="n"/>
      <c r="U443" s="6" t="n"/>
      <c r="V443" s="6" t="n"/>
      <c r="W443" s="6" t="n"/>
      <c r="X443" s="6" t="n"/>
      <c r="Y443" s="6" t="n"/>
    </row>
    <row r="444" ht="22" customHeight="1">
      <c r="A444" s="5" t="n"/>
      <c r="B444" s="6" t="n"/>
      <c r="C444" s="5" t="n"/>
      <c r="D444" s="5" t="n"/>
      <c r="E444" s="5" t="n"/>
      <c r="F444" s="6" t="n"/>
      <c r="G444" s="6" t="n"/>
      <c r="H444" s="7">
        <f>IF(AND(F444="",G444=""),"", "Risk of """ &amp; F444 &amp; """ because of """ &amp; SUBSTITUTE(G444, ", ", """ and """) &amp; """")</f>
        <v/>
      </c>
      <c r="I444" s="5" t="n"/>
      <c r="J444" s="5" t="n"/>
      <c r="K444" s="5" t="n"/>
      <c r="L444" s="8">
        <f>IF(E444="Confidential", 4, IF(E444="Sensitive", 3, IF(E444="Private", 2, IF(E444="Public", 1, ""))))</f>
        <v/>
      </c>
      <c r="M444" s="5" t="n"/>
      <c r="N444" s="8">
        <f>IF(OR(L444="",M444=""), "", L444*M444)</f>
        <v/>
      </c>
      <c r="O444" s="8">
        <f>IF(N444="","", IF(N444&gt;6, "High", IF(N444&gt;=4, "Medium", "Low")))</f>
        <v/>
      </c>
      <c r="P444" s="6" t="n"/>
      <c r="Q444" s="5" t="n"/>
      <c r="R444" s="5" t="n"/>
      <c r="S444" s="5" t="n"/>
      <c r="T444" s="6" t="n"/>
      <c r="U444" s="6" t="n"/>
      <c r="V444" s="6" t="n"/>
      <c r="W444" s="6" t="n"/>
      <c r="X444" s="6" t="n"/>
      <c r="Y444" s="6" t="n"/>
    </row>
    <row r="445" ht="22" customHeight="1">
      <c r="A445" s="5" t="n"/>
      <c r="B445" s="6" t="n"/>
      <c r="C445" s="5" t="n"/>
      <c r="D445" s="5" t="n"/>
      <c r="E445" s="5" t="n"/>
      <c r="F445" s="6" t="n"/>
      <c r="G445" s="6" t="n"/>
      <c r="H445" s="7">
        <f>IF(AND(F445="",G445=""),"", "Risk of """ &amp; F445 &amp; """ because of """ &amp; SUBSTITUTE(G445, ", ", """ and """) &amp; """")</f>
        <v/>
      </c>
      <c r="I445" s="5" t="n"/>
      <c r="J445" s="5" t="n"/>
      <c r="K445" s="5" t="n"/>
      <c r="L445" s="8">
        <f>IF(E445="Confidential", 4, IF(E445="Sensitive", 3, IF(E445="Private", 2, IF(E445="Public", 1, ""))))</f>
        <v/>
      </c>
      <c r="M445" s="5" t="n"/>
      <c r="N445" s="8">
        <f>IF(OR(L445="",M445=""), "", L445*M445)</f>
        <v/>
      </c>
      <c r="O445" s="8">
        <f>IF(N445="","", IF(N445&gt;6, "High", IF(N445&gt;=4, "Medium", "Low")))</f>
        <v/>
      </c>
      <c r="P445" s="6" t="n"/>
      <c r="Q445" s="5" t="n"/>
      <c r="R445" s="5" t="n"/>
      <c r="S445" s="5" t="n"/>
      <c r="T445" s="6" t="n"/>
      <c r="U445" s="6" t="n"/>
      <c r="V445" s="6" t="n"/>
      <c r="W445" s="6" t="n"/>
      <c r="X445" s="6" t="n"/>
      <c r="Y445" s="6" t="n"/>
    </row>
    <row r="446" ht="22" customHeight="1">
      <c r="A446" s="5" t="n"/>
      <c r="B446" s="6" t="n"/>
      <c r="C446" s="5" t="n"/>
      <c r="D446" s="5" t="n"/>
      <c r="E446" s="5" t="n"/>
      <c r="F446" s="6" t="n"/>
      <c r="G446" s="6" t="n"/>
      <c r="H446" s="7">
        <f>IF(AND(F446="",G446=""),"", "Risk of """ &amp; F446 &amp; """ because of """ &amp; SUBSTITUTE(G446, ", ", """ and """) &amp; """")</f>
        <v/>
      </c>
      <c r="I446" s="5" t="n"/>
      <c r="J446" s="5" t="n"/>
      <c r="K446" s="5" t="n"/>
      <c r="L446" s="8">
        <f>IF(E446="Confidential", 4, IF(E446="Sensitive", 3, IF(E446="Private", 2, IF(E446="Public", 1, ""))))</f>
        <v/>
      </c>
      <c r="M446" s="5" t="n"/>
      <c r="N446" s="8">
        <f>IF(OR(L446="",M446=""), "", L446*M446)</f>
        <v/>
      </c>
      <c r="O446" s="8">
        <f>IF(N446="","", IF(N446&gt;6, "High", IF(N446&gt;=4, "Medium", "Low")))</f>
        <v/>
      </c>
      <c r="P446" s="6" t="n"/>
      <c r="Q446" s="5" t="n"/>
      <c r="R446" s="5" t="n"/>
      <c r="S446" s="5" t="n"/>
      <c r="T446" s="6" t="n"/>
      <c r="U446" s="6" t="n"/>
      <c r="V446" s="6" t="n"/>
      <c r="W446" s="6" t="n"/>
      <c r="X446" s="6" t="n"/>
      <c r="Y446" s="6" t="n"/>
    </row>
    <row r="447" ht="22" customHeight="1">
      <c r="A447" s="5" t="n"/>
      <c r="B447" s="6" t="n"/>
      <c r="C447" s="5" t="n"/>
      <c r="D447" s="5" t="n"/>
      <c r="E447" s="5" t="n"/>
      <c r="F447" s="6" t="n"/>
      <c r="G447" s="6" t="n"/>
      <c r="H447" s="7">
        <f>IF(AND(F447="",G447=""),"", "Risk of """ &amp; F447 &amp; """ because of """ &amp; SUBSTITUTE(G447, ", ", """ and """) &amp; """")</f>
        <v/>
      </c>
      <c r="I447" s="5" t="n"/>
      <c r="J447" s="5" t="n"/>
      <c r="K447" s="5" t="n"/>
      <c r="L447" s="8">
        <f>IF(E447="Confidential", 4, IF(E447="Sensitive", 3, IF(E447="Private", 2, IF(E447="Public", 1, ""))))</f>
        <v/>
      </c>
      <c r="M447" s="5" t="n"/>
      <c r="N447" s="8">
        <f>IF(OR(L447="",M447=""), "", L447*M447)</f>
        <v/>
      </c>
      <c r="O447" s="8">
        <f>IF(N447="","", IF(N447&gt;6, "High", IF(N447&gt;=4, "Medium", "Low")))</f>
        <v/>
      </c>
      <c r="P447" s="6" t="n"/>
      <c r="Q447" s="5" t="n"/>
      <c r="R447" s="5" t="n"/>
      <c r="S447" s="5" t="n"/>
      <c r="T447" s="6" t="n"/>
      <c r="U447" s="6" t="n"/>
      <c r="V447" s="6" t="n"/>
      <c r="W447" s="6" t="n"/>
      <c r="X447" s="6" t="n"/>
      <c r="Y447" s="6" t="n"/>
    </row>
    <row r="448" ht="22" customHeight="1">
      <c r="A448" s="5" t="n"/>
      <c r="B448" s="6" t="n"/>
      <c r="C448" s="5" t="n"/>
      <c r="D448" s="5" t="n"/>
      <c r="E448" s="5" t="n"/>
      <c r="F448" s="6" t="n"/>
      <c r="G448" s="6" t="n"/>
      <c r="H448" s="7">
        <f>IF(AND(F448="",G448=""),"", "Risk of """ &amp; F448 &amp; """ because of """ &amp; SUBSTITUTE(G448, ", ", """ and """) &amp; """")</f>
        <v/>
      </c>
      <c r="I448" s="5" t="n"/>
      <c r="J448" s="5" t="n"/>
      <c r="K448" s="5" t="n"/>
      <c r="L448" s="8">
        <f>IF(E448="Confidential", 4, IF(E448="Sensitive", 3, IF(E448="Private", 2, IF(E448="Public", 1, ""))))</f>
        <v/>
      </c>
      <c r="M448" s="5" t="n"/>
      <c r="N448" s="8">
        <f>IF(OR(L448="",M448=""), "", L448*M448)</f>
        <v/>
      </c>
      <c r="O448" s="8">
        <f>IF(N448="","", IF(N448&gt;6, "High", IF(N448&gt;=4, "Medium", "Low")))</f>
        <v/>
      </c>
      <c r="P448" s="6" t="n"/>
      <c r="Q448" s="5" t="n"/>
      <c r="R448" s="5" t="n"/>
      <c r="S448" s="5" t="n"/>
      <c r="T448" s="6" t="n"/>
      <c r="U448" s="6" t="n"/>
      <c r="V448" s="6" t="n"/>
      <c r="W448" s="6" t="n"/>
      <c r="X448" s="6" t="n"/>
      <c r="Y448" s="6" t="n"/>
    </row>
    <row r="449" ht="22" customHeight="1">
      <c r="A449" s="5" t="n"/>
      <c r="B449" s="6" t="n"/>
      <c r="C449" s="5" t="n"/>
      <c r="D449" s="5" t="n"/>
      <c r="E449" s="5" t="n"/>
      <c r="F449" s="6" t="n"/>
      <c r="G449" s="6" t="n"/>
      <c r="H449" s="7">
        <f>IF(AND(F449="",G449=""),"", "Risk of """ &amp; F449 &amp; """ because of """ &amp; SUBSTITUTE(G449, ", ", """ and """) &amp; """")</f>
        <v/>
      </c>
      <c r="I449" s="5" t="n"/>
      <c r="J449" s="5" t="n"/>
      <c r="K449" s="5" t="n"/>
      <c r="L449" s="8">
        <f>IF(E449="Confidential", 4, IF(E449="Sensitive", 3, IF(E449="Private", 2, IF(E449="Public", 1, ""))))</f>
        <v/>
      </c>
      <c r="M449" s="5" t="n"/>
      <c r="N449" s="8">
        <f>IF(OR(L449="",M449=""), "", L449*M449)</f>
        <v/>
      </c>
      <c r="O449" s="8">
        <f>IF(N449="","", IF(N449&gt;6, "High", IF(N449&gt;=4, "Medium", "Low")))</f>
        <v/>
      </c>
      <c r="P449" s="6" t="n"/>
      <c r="Q449" s="5" t="n"/>
      <c r="R449" s="5" t="n"/>
      <c r="S449" s="5" t="n"/>
      <c r="T449" s="6" t="n"/>
      <c r="U449" s="6" t="n"/>
      <c r="V449" s="6" t="n"/>
      <c r="W449" s="6" t="n"/>
      <c r="X449" s="6" t="n"/>
      <c r="Y449" s="6" t="n"/>
    </row>
    <row r="450" ht="22" customHeight="1">
      <c r="A450" s="5" t="n"/>
      <c r="B450" s="6" t="n"/>
      <c r="C450" s="5" t="n"/>
      <c r="D450" s="5" t="n"/>
      <c r="E450" s="5" t="n"/>
      <c r="F450" s="6" t="n"/>
      <c r="G450" s="6" t="n"/>
      <c r="H450" s="7">
        <f>IF(AND(F450="",G450=""),"", "Risk of """ &amp; F450 &amp; """ because of """ &amp; SUBSTITUTE(G450, ", ", """ and """) &amp; """")</f>
        <v/>
      </c>
      <c r="I450" s="5" t="n"/>
      <c r="J450" s="5" t="n"/>
      <c r="K450" s="5" t="n"/>
      <c r="L450" s="8">
        <f>IF(E450="Confidential", 4, IF(E450="Sensitive", 3, IF(E450="Private", 2, IF(E450="Public", 1, ""))))</f>
        <v/>
      </c>
      <c r="M450" s="5" t="n"/>
      <c r="N450" s="8">
        <f>IF(OR(L450="",M450=""), "", L450*M450)</f>
        <v/>
      </c>
      <c r="O450" s="8">
        <f>IF(N450="","", IF(N450&gt;6, "High", IF(N450&gt;=4, "Medium", "Low")))</f>
        <v/>
      </c>
      <c r="P450" s="6" t="n"/>
      <c r="Q450" s="5" t="n"/>
      <c r="R450" s="5" t="n"/>
      <c r="S450" s="5" t="n"/>
      <c r="T450" s="6" t="n"/>
      <c r="U450" s="6" t="n"/>
      <c r="V450" s="6" t="n"/>
      <c r="W450" s="6" t="n"/>
      <c r="X450" s="6" t="n"/>
      <c r="Y450" s="6" t="n"/>
    </row>
    <row r="451" ht="22" customHeight="1">
      <c r="A451" s="5" t="n"/>
      <c r="B451" s="6" t="n"/>
      <c r="C451" s="5" t="n"/>
      <c r="D451" s="5" t="n"/>
      <c r="E451" s="5" t="n"/>
      <c r="F451" s="6" t="n"/>
      <c r="G451" s="6" t="n"/>
      <c r="H451" s="7">
        <f>IF(AND(F451="",G451=""),"", "Risk of """ &amp; F451 &amp; """ because of """ &amp; SUBSTITUTE(G451, ", ", """ and """) &amp; """")</f>
        <v/>
      </c>
      <c r="I451" s="5" t="n"/>
      <c r="J451" s="5" t="n"/>
      <c r="K451" s="5" t="n"/>
      <c r="L451" s="8">
        <f>IF(E451="Confidential", 4, IF(E451="Sensitive", 3, IF(E451="Private", 2, IF(E451="Public", 1, ""))))</f>
        <v/>
      </c>
      <c r="M451" s="5" t="n"/>
      <c r="N451" s="8">
        <f>IF(OR(L451="",M451=""), "", L451*M451)</f>
        <v/>
      </c>
      <c r="O451" s="8">
        <f>IF(N451="","", IF(N451&gt;6, "High", IF(N451&gt;=4, "Medium", "Low")))</f>
        <v/>
      </c>
      <c r="P451" s="6" t="n"/>
      <c r="Q451" s="5" t="n"/>
      <c r="R451" s="5" t="n"/>
      <c r="S451" s="5" t="n"/>
      <c r="T451" s="6" t="n"/>
      <c r="U451" s="6" t="n"/>
      <c r="V451" s="6" t="n"/>
      <c r="W451" s="6" t="n"/>
      <c r="X451" s="6" t="n"/>
      <c r="Y451" s="6" t="n"/>
    </row>
    <row r="452" ht="22" customHeight="1">
      <c r="A452" s="5" t="n"/>
      <c r="B452" s="6" t="n"/>
      <c r="C452" s="5" t="n"/>
      <c r="D452" s="5" t="n"/>
      <c r="E452" s="5" t="n"/>
      <c r="F452" s="6" t="n"/>
      <c r="G452" s="6" t="n"/>
      <c r="H452" s="7">
        <f>IF(AND(F452="",G452=""),"", "Risk of """ &amp; F452 &amp; """ because of """ &amp; SUBSTITUTE(G452, ", ", """ and """) &amp; """")</f>
        <v/>
      </c>
      <c r="I452" s="5" t="n"/>
      <c r="J452" s="5" t="n"/>
      <c r="K452" s="5" t="n"/>
      <c r="L452" s="8">
        <f>IF(E452="Confidential", 4, IF(E452="Sensitive", 3, IF(E452="Private", 2, IF(E452="Public", 1, ""))))</f>
        <v/>
      </c>
      <c r="M452" s="5" t="n"/>
      <c r="N452" s="8">
        <f>IF(OR(L452="",M452=""), "", L452*M452)</f>
        <v/>
      </c>
      <c r="O452" s="8">
        <f>IF(N452="","", IF(N452&gt;6, "High", IF(N452&gt;=4, "Medium", "Low")))</f>
        <v/>
      </c>
      <c r="P452" s="6" t="n"/>
      <c r="Q452" s="5" t="n"/>
      <c r="R452" s="5" t="n"/>
      <c r="S452" s="5" t="n"/>
      <c r="T452" s="6" t="n"/>
      <c r="U452" s="6" t="n"/>
      <c r="V452" s="6" t="n"/>
      <c r="W452" s="6" t="n"/>
      <c r="X452" s="6" t="n"/>
      <c r="Y452" s="6" t="n"/>
    </row>
    <row r="453" ht="22" customHeight="1">
      <c r="A453" s="5" t="n"/>
      <c r="B453" s="6" t="n"/>
      <c r="C453" s="5" t="n"/>
      <c r="D453" s="5" t="n"/>
      <c r="E453" s="5" t="n"/>
      <c r="F453" s="6" t="n"/>
      <c r="G453" s="6" t="n"/>
      <c r="H453" s="7">
        <f>IF(AND(F453="",G453=""),"", "Risk of """ &amp; F453 &amp; """ because of """ &amp; SUBSTITUTE(G453, ", ", """ and """) &amp; """")</f>
        <v/>
      </c>
      <c r="I453" s="5" t="n"/>
      <c r="J453" s="5" t="n"/>
      <c r="K453" s="5" t="n"/>
      <c r="L453" s="8">
        <f>IF(E453="Confidential", 4, IF(E453="Sensitive", 3, IF(E453="Private", 2, IF(E453="Public", 1, ""))))</f>
        <v/>
      </c>
      <c r="M453" s="5" t="n"/>
      <c r="N453" s="8">
        <f>IF(OR(L453="",M453=""), "", L453*M453)</f>
        <v/>
      </c>
      <c r="O453" s="8">
        <f>IF(N453="","", IF(N453&gt;6, "High", IF(N453&gt;=4, "Medium", "Low")))</f>
        <v/>
      </c>
      <c r="P453" s="6" t="n"/>
      <c r="Q453" s="5" t="n"/>
      <c r="R453" s="5" t="n"/>
      <c r="S453" s="5" t="n"/>
      <c r="T453" s="6" t="n"/>
      <c r="U453" s="6" t="n"/>
      <c r="V453" s="6" t="n"/>
      <c r="W453" s="6" t="n"/>
      <c r="X453" s="6" t="n"/>
      <c r="Y453" s="6" t="n"/>
    </row>
    <row r="454" ht="22" customHeight="1">
      <c r="A454" s="5" t="n"/>
      <c r="B454" s="6" t="n"/>
      <c r="C454" s="5" t="n"/>
      <c r="D454" s="5" t="n"/>
      <c r="E454" s="5" t="n"/>
      <c r="F454" s="6" t="n"/>
      <c r="G454" s="6" t="n"/>
      <c r="H454" s="7">
        <f>IF(AND(F454="",G454=""),"", "Risk of """ &amp; F454 &amp; """ because of """ &amp; SUBSTITUTE(G454, ", ", """ and """) &amp; """")</f>
        <v/>
      </c>
      <c r="I454" s="5" t="n"/>
      <c r="J454" s="5" t="n"/>
      <c r="K454" s="5" t="n"/>
      <c r="L454" s="8">
        <f>IF(E454="Confidential", 4, IF(E454="Sensitive", 3, IF(E454="Private", 2, IF(E454="Public", 1, ""))))</f>
        <v/>
      </c>
      <c r="M454" s="5" t="n"/>
      <c r="N454" s="8">
        <f>IF(OR(L454="",M454=""), "", L454*M454)</f>
        <v/>
      </c>
      <c r="O454" s="8">
        <f>IF(N454="","", IF(N454&gt;6, "High", IF(N454&gt;=4, "Medium", "Low")))</f>
        <v/>
      </c>
      <c r="P454" s="6" t="n"/>
      <c r="Q454" s="5" t="n"/>
      <c r="R454" s="5" t="n"/>
      <c r="S454" s="5" t="n"/>
      <c r="T454" s="6" t="n"/>
      <c r="U454" s="6" t="n"/>
      <c r="V454" s="6" t="n"/>
      <c r="W454" s="6" t="n"/>
      <c r="X454" s="6" t="n"/>
      <c r="Y454" s="6" t="n"/>
    </row>
    <row r="455" ht="22" customHeight="1">
      <c r="A455" s="5" t="n"/>
      <c r="B455" s="6" t="n"/>
      <c r="C455" s="5" t="n"/>
      <c r="D455" s="5" t="n"/>
      <c r="E455" s="5" t="n"/>
      <c r="F455" s="6" t="n"/>
      <c r="G455" s="6" t="n"/>
      <c r="H455" s="7">
        <f>IF(AND(F455="",G455=""),"", "Risk of """ &amp; F455 &amp; """ because of """ &amp; SUBSTITUTE(G455, ", ", """ and """) &amp; """")</f>
        <v/>
      </c>
      <c r="I455" s="5" t="n"/>
      <c r="J455" s="5" t="n"/>
      <c r="K455" s="5" t="n"/>
      <c r="L455" s="8">
        <f>IF(E455="Confidential", 4, IF(E455="Sensitive", 3, IF(E455="Private", 2, IF(E455="Public", 1, ""))))</f>
        <v/>
      </c>
      <c r="M455" s="5" t="n"/>
      <c r="N455" s="8">
        <f>IF(OR(L455="",M455=""), "", L455*M455)</f>
        <v/>
      </c>
      <c r="O455" s="8">
        <f>IF(N455="","", IF(N455&gt;6, "High", IF(N455&gt;=4, "Medium", "Low")))</f>
        <v/>
      </c>
      <c r="P455" s="6" t="n"/>
      <c r="Q455" s="5" t="n"/>
      <c r="R455" s="5" t="n"/>
      <c r="S455" s="5" t="n"/>
      <c r="T455" s="6" t="n"/>
      <c r="U455" s="6" t="n"/>
      <c r="V455" s="6" t="n"/>
      <c r="W455" s="6" t="n"/>
      <c r="X455" s="6" t="n"/>
      <c r="Y455" s="6" t="n"/>
    </row>
    <row r="456" ht="22" customHeight="1">
      <c r="A456" s="5" t="n"/>
      <c r="B456" s="6" t="n"/>
      <c r="C456" s="5" t="n"/>
      <c r="D456" s="5" t="n"/>
      <c r="E456" s="5" t="n"/>
      <c r="F456" s="6" t="n"/>
      <c r="G456" s="6" t="n"/>
      <c r="H456" s="7">
        <f>IF(AND(F456="",G456=""),"", "Risk of """ &amp; F456 &amp; """ because of """ &amp; SUBSTITUTE(G456, ", ", """ and """) &amp; """")</f>
        <v/>
      </c>
      <c r="I456" s="5" t="n"/>
      <c r="J456" s="5" t="n"/>
      <c r="K456" s="5" t="n"/>
      <c r="L456" s="8">
        <f>IF(E456="Confidential", 4, IF(E456="Sensitive", 3, IF(E456="Private", 2, IF(E456="Public", 1, ""))))</f>
        <v/>
      </c>
      <c r="M456" s="5" t="n"/>
      <c r="N456" s="8">
        <f>IF(OR(L456="",M456=""), "", L456*M456)</f>
        <v/>
      </c>
      <c r="O456" s="8">
        <f>IF(N456="","", IF(N456&gt;6, "High", IF(N456&gt;=4, "Medium", "Low")))</f>
        <v/>
      </c>
      <c r="P456" s="6" t="n"/>
      <c r="Q456" s="5" t="n"/>
      <c r="R456" s="5" t="n"/>
      <c r="S456" s="5" t="n"/>
      <c r="T456" s="6" t="n"/>
      <c r="U456" s="6" t="n"/>
      <c r="V456" s="6" t="n"/>
      <c r="W456" s="6" t="n"/>
      <c r="X456" s="6" t="n"/>
      <c r="Y456" s="6" t="n"/>
    </row>
    <row r="457" ht="22" customHeight="1">
      <c r="A457" s="5" t="n"/>
      <c r="B457" s="6" t="n"/>
      <c r="C457" s="5" t="n"/>
      <c r="D457" s="5" t="n"/>
      <c r="E457" s="5" t="n"/>
      <c r="F457" s="6" t="n"/>
      <c r="G457" s="6" t="n"/>
      <c r="H457" s="7">
        <f>IF(AND(F457="",G457=""),"", "Risk of """ &amp; F457 &amp; """ because of """ &amp; SUBSTITUTE(G457, ", ", """ and """) &amp; """")</f>
        <v/>
      </c>
      <c r="I457" s="5" t="n"/>
      <c r="J457" s="5" t="n"/>
      <c r="K457" s="5" t="n"/>
      <c r="L457" s="8">
        <f>IF(E457="Confidential", 4, IF(E457="Sensitive", 3, IF(E457="Private", 2, IF(E457="Public", 1, ""))))</f>
        <v/>
      </c>
      <c r="M457" s="5" t="n"/>
      <c r="N457" s="8">
        <f>IF(OR(L457="",M457=""), "", L457*M457)</f>
        <v/>
      </c>
      <c r="O457" s="8">
        <f>IF(N457="","", IF(N457&gt;6, "High", IF(N457&gt;=4, "Medium", "Low")))</f>
        <v/>
      </c>
      <c r="P457" s="6" t="n"/>
      <c r="Q457" s="5" t="n"/>
      <c r="R457" s="5" t="n"/>
      <c r="S457" s="5" t="n"/>
      <c r="T457" s="6" t="n"/>
      <c r="U457" s="6" t="n"/>
      <c r="V457" s="6" t="n"/>
      <c r="W457" s="6" t="n"/>
      <c r="X457" s="6" t="n"/>
      <c r="Y457" s="6" t="n"/>
    </row>
    <row r="458" ht="22" customHeight="1">
      <c r="A458" s="5" t="n"/>
      <c r="B458" s="6" t="n"/>
      <c r="C458" s="5" t="n"/>
      <c r="D458" s="5" t="n"/>
      <c r="E458" s="5" t="n"/>
      <c r="F458" s="6" t="n"/>
      <c r="G458" s="6" t="n"/>
      <c r="H458" s="7">
        <f>IF(AND(F458="",G458=""),"", "Risk of """ &amp; F458 &amp; """ because of """ &amp; SUBSTITUTE(G458, ", ", """ and """) &amp; """")</f>
        <v/>
      </c>
      <c r="I458" s="5" t="n"/>
      <c r="J458" s="5" t="n"/>
      <c r="K458" s="5" t="n"/>
      <c r="L458" s="8">
        <f>IF(E458="Confidential", 4, IF(E458="Sensitive", 3, IF(E458="Private", 2, IF(E458="Public", 1, ""))))</f>
        <v/>
      </c>
      <c r="M458" s="5" t="n"/>
      <c r="N458" s="8">
        <f>IF(OR(L458="",M458=""), "", L458*M458)</f>
        <v/>
      </c>
      <c r="O458" s="8">
        <f>IF(N458="","", IF(N458&gt;6, "High", IF(N458&gt;=4, "Medium", "Low")))</f>
        <v/>
      </c>
      <c r="P458" s="6" t="n"/>
      <c r="Q458" s="5" t="n"/>
      <c r="R458" s="5" t="n"/>
      <c r="S458" s="5" t="n"/>
      <c r="T458" s="6" t="n"/>
      <c r="U458" s="6" t="n"/>
      <c r="V458" s="6" t="n"/>
      <c r="W458" s="6" t="n"/>
      <c r="X458" s="6" t="n"/>
      <c r="Y458" s="6" t="n"/>
    </row>
    <row r="459" ht="22" customHeight="1">
      <c r="A459" s="5" t="n"/>
      <c r="B459" s="6" t="n"/>
      <c r="C459" s="5" t="n"/>
      <c r="D459" s="5" t="n"/>
      <c r="E459" s="5" t="n"/>
      <c r="F459" s="6" t="n"/>
      <c r="G459" s="6" t="n"/>
      <c r="H459" s="7">
        <f>IF(AND(F459="",G459=""),"", "Risk of """ &amp; F459 &amp; """ because of """ &amp; SUBSTITUTE(G459, ", ", """ and """) &amp; """")</f>
        <v/>
      </c>
      <c r="I459" s="5" t="n"/>
      <c r="J459" s="5" t="n"/>
      <c r="K459" s="5" t="n"/>
      <c r="L459" s="8">
        <f>IF(E459="Confidential", 4, IF(E459="Sensitive", 3, IF(E459="Private", 2, IF(E459="Public", 1, ""))))</f>
        <v/>
      </c>
      <c r="M459" s="5" t="n"/>
      <c r="N459" s="8">
        <f>IF(OR(L459="",M459=""), "", L459*M459)</f>
        <v/>
      </c>
      <c r="O459" s="8">
        <f>IF(N459="","", IF(N459&gt;6, "High", IF(N459&gt;=4, "Medium", "Low")))</f>
        <v/>
      </c>
      <c r="P459" s="6" t="n"/>
      <c r="Q459" s="5" t="n"/>
      <c r="R459" s="5" t="n"/>
      <c r="S459" s="5" t="n"/>
      <c r="T459" s="6" t="n"/>
      <c r="U459" s="6" t="n"/>
      <c r="V459" s="6" t="n"/>
      <c r="W459" s="6" t="n"/>
      <c r="X459" s="6" t="n"/>
      <c r="Y459" s="6" t="n"/>
    </row>
    <row r="460" ht="22" customHeight="1">
      <c r="A460" s="5" t="n"/>
      <c r="B460" s="6" t="n"/>
      <c r="C460" s="5" t="n"/>
      <c r="D460" s="5" t="n"/>
      <c r="E460" s="5" t="n"/>
      <c r="F460" s="6" t="n"/>
      <c r="G460" s="6" t="n"/>
      <c r="H460" s="7">
        <f>IF(AND(F460="",G460=""),"", "Risk of """ &amp; F460 &amp; """ because of """ &amp; SUBSTITUTE(G460, ", ", """ and """) &amp; """")</f>
        <v/>
      </c>
      <c r="I460" s="5" t="n"/>
      <c r="J460" s="5" t="n"/>
      <c r="K460" s="5" t="n"/>
      <c r="L460" s="8">
        <f>IF(E460="Confidential", 4, IF(E460="Sensitive", 3, IF(E460="Private", 2, IF(E460="Public", 1, ""))))</f>
        <v/>
      </c>
      <c r="M460" s="5" t="n"/>
      <c r="N460" s="8">
        <f>IF(OR(L460="",M460=""), "", L460*M460)</f>
        <v/>
      </c>
      <c r="O460" s="8">
        <f>IF(N460="","", IF(N460&gt;6, "High", IF(N460&gt;=4, "Medium", "Low")))</f>
        <v/>
      </c>
      <c r="P460" s="6" t="n"/>
      <c r="Q460" s="5" t="n"/>
      <c r="R460" s="5" t="n"/>
      <c r="S460" s="5" t="n"/>
      <c r="T460" s="6" t="n"/>
      <c r="U460" s="6" t="n"/>
      <c r="V460" s="6" t="n"/>
      <c r="W460" s="6" t="n"/>
      <c r="X460" s="6" t="n"/>
      <c r="Y460" s="6" t="n"/>
    </row>
    <row r="461" ht="22" customHeight="1">
      <c r="A461" s="5" t="n"/>
      <c r="B461" s="6" t="n"/>
      <c r="C461" s="5" t="n"/>
      <c r="D461" s="5" t="n"/>
      <c r="E461" s="5" t="n"/>
      <c r="F461" s="6" t="n"/>
      <c r="G461" s="6" t="n"/>
      <c r="H461" s="7">
        <f>IF(AND(F461="",G461=""),"", "Risk of """ &amp; F461 &amp; """ because of """ &amp; SUBSTITUTE(G461, ", ", """ and """) &amp; """")</f>
        <v/>
      </c>
      <c r="I461" s="5" t="n"/>
      <c r="J461" s="5" t="n"/>
      <c r="K461" s="5" t="n"/>
      <c r="L461" s="8">
        <f>IF(E461="Confidential", 4, IF(E461="Sensitive", 3, IF(E461="Private", 2, IF(E461="Public", 1, ""))))</f>
        <v/>
      </c>
      <c r="M461" s="5" t="n"/>
      <c r="N461" s="8">
        <f>IF(OR(L461="",M461=""), "", L461*M461)</f>
        <v/>
      </c>
      <c r="O461" s="8">
        <f>IF(N461="","", IF(N461&gt;6, "High", IF(N461&gt;=4, "Medium", "Low")))</f>
        <v/>
      </c>
      <c r="P461" s="6" t="n"/>
      <c r="Q461" s="5" t="n"/>
      <c r="R461" s="5" t="n"/>
      <c r="S461" s="5" t="n"/>
      <c r="T461" s="6" t="n"/>
      <c r="U461" s="6" t="n"/>
      <c r="V461" s="6" t="n"/>
      <c r="W461" s="6" t="n"/>
      <c r="X461" s="6" t="n"/>
      <c r="Y461" s="6" t="n"/>
    </row>
    <row r="462" ht="22" customHeight="1">
      <c r="A462" s="5" t="n"/>
      <c r="B462" s="6" t="n"/>
      <c r="C462" s="5" t="n"/>
      <c r="D462" s="5" t="n"/>
      <c r="E462" s="5" t="n"/>
      <c r="F462" s="6" t="n"/>
      <c r="G462" s="6" t="n"/>
      <c r="H462" s="7">
        <f>IF(AND(F462="",G462=""),"", "Risk of """ &amp; F462 &amp; """ because of """ &amp; SUBSTITUTE(G462, ", ", """ and """) &amp; """")</f>
        <v/>
      </c>
      <c r="I462" s="5" t="n"/>
      <c r="J462" s="5" t="n"/>
      <c r="K462" s="5" t="n"/>
      <c r="L462" s="8">
        <f>IF(E462="Confidential", 4, IF(E462="Sensitive", 3, IF(E462="Private", 2, IF(E462="Public", 1, ""))))</f>
        <v/>
      </c>
      <c r="M462" s="5" t="n"/>
      <c r="N462" s="8">
        <f>IF(OR(L462="",M462=""), "", L462*M462)</f>
        <v/>
      </c>
      <c r="O462" s="8">
        <f>IF(N462="","", IF(N462&gt;6, "High", IF(N462&gt;=4, "Medium", "Low")))</f>
        <v/>
      </c>
      <c r="P462" s="6" t="n"/>
      <c r="Q462" s="5" t="n"/>
      <c r="R462" s="5" t="n"/>
      <c r="S462" s="5" t="n"/>
      <c r="T462" s="6" t="n"/>
      <c r="U462" s="6" t="n"/>
      <c r="V462" s="6" t="n"/>
      <c r="W462" s="6" t="n"/>
      <c r="X462" s="6" t="n"/>
      <c r="Y462" s="6" t="n"/>
    </row>
    <row r="463" ht="22" customHeight="1">
      <c r="A463" s="5" t="n"/>
      <c r="B463" s="6" t="n"/>
      <c r="C463" s="5" t="n"/>
      <c r="D463" s="5" t="n"/>
      <c r="E463" s="5" t="n"/>
      <c r="F463" s="6" t="n"/>
      <c r="G463" s="6" t="n"/>
      <c r="H463" s="7">
        <f>IF(AND(F463="",G463=""),"", "Risk of """ &amp; F463 &amp; """ because of """ &amp; SUBSTITUTE(G463, ", ", """ and """) &amp; """")</f>
        <v/>
      </c>
      <c r="I463" s="5" t="n"/>
      <c r="J463" s="5" t="n"/>
      <c r="K463" s="5" t="n"/>
      <c r="L463" s="8">
        <f>IF(E463="Confidential", 4, IF(E463="Sensitive", 3, IF(E463="Private", 2, IF(E463="Public", 1, ""))))</f>
        <v/>
      </c>
      <c r="M463" s="5" t="n"/>
      <c r="N463" s="8">
        <f>IF(OR(L463="",M463=""), "", L463*M463)</f>
        <v/>
      </c>
      <c r="O463" s="8">
        <f>IF(N463="","", IF(N463&gt;6, "High", IF(N463&gt;=4, "Medium", "Low")))</f>
        <v/>
      </c>
      <c r="P463" s="6" t="n"/>
      <c r="Q463" s="5" t="n"/>
      <c r="R463" s="5" t="n"/>
      <c r="S463" s="5" t="n"/>
      <c r="T463" s="6" t="n"/>
      <c r="U463" s="6" t="n"/>
      <c r="V463" s="6" t="n"/>
      <c r="W463" s="6" t="n"/>
      <c r="X463" s="6" t="n"/>
      <c r="Y463" s="6" t="n"/>
    </row>
    <row r="464" ht="22" customHeight="1">
      <c r="A464" s="5" t="n"/>
      <c r="B464" s="6" t="n"/>
      <c r="C464" s="5" t="n"/>
      <c r="D464" s="5" t="n"/>
      <c r="E464" s="5" t="n"/>
      <c r="F464" s="6" t="n"/>
      <c r="G464" s="6" t="n"/>
      <c r="H464" s="7">
        <f>IF(AND(F464="",G464=""),"", "Risk of """ &amp; F464 &amp; """ because of """ &amp; SUBSTITUTE(G464, ", ", """ and """) &amp; """")</f>
        <v/>
      </c>
      <c r="I464" s="5" t="n"/>
      <c r="J464" s="5" t="n"/>
      <c r="K464" s="5" t="n"/>
      <c r="L464" s="8">
        <f>IF(E464="Confidential", 4, IF(E464="Sensitive", 3, IF(E464="Private", 2, IF(E464="Public", 1, ""))))</f>
        <v/>
      </c>
      <c r="M464" s="5" t="n"/>
      <c r="N464" s="8">
        <f>IF(OR(L464="",M464=""), "", L464*M464)</f>
        <v/>
      </c>
      <c r="O464" s="8">
        <f>IF(N464="","", IF(N464&gt;6, "High", IF(N464&gt;=4, "Medium", "Low")))</f>
        <v/>
      </c>
      <c r="P464" s="6" t="n"/>
      <c r="Q464" s="5" t="n"/>
      <c r="R464" s="5" t="n"/>
      <c r="S464" s="5" t="n"/>
      <c r="T464" s="6" t="n"/>
      <c r="U464" s="6" t="n"/>
      <c r="V464" s="6" t="n"/>
      <c r="W464" s="6" t="n"/>
      <c r="X464" s="6" t="n"/>
      <c r="Y464" s="6" t="n"/>
    </row>
    <row r="465" ht="22" customHeight="1">
      <c r="A465" s="5" t="n"/>
      <c r="B465" s="6" t="n"/>
      <c r="C465" s="5" t="n"/>
      <c r="D465" s="5" t="n"/>
      <c r="E465" s="5" t="n"/>
      <c r="F465" s="6" t="n"/>
      <c r="G465" s="6" t="n"/>
      <c r="H465" s="7">
        <f>IF(AND(F465="",G465=""),"", "Risk of """ &amp; F465 &amp; """ because of """ &amp; SUBSTITUTE(G465, ", ", """ and """) &amp; """")</f>
        <v/>
      </c>
      <c r="I465" s="5" t="n"/>
      <c r="J465" s="5" t="n"/>
      <c r="K465" s="5" t="n"/>
      <c r="L465" s="8">
        <f>IF(E465="Confidential", 4, IF(E465="Sensitive", 3, IF(E465="Private", 2, IF(E465="Public", 1, ""))))</f>
        <v/>
      </c>
      <c r="M465" s="5" t="n"/>
      <c r="N465" s="8">
        <f>IF(OR(L465="",M465=""), "", L465*M465)</f>
        <v/>
      </c>
      <c r="O465" s="8">
        <f>IF(N465="","", IF(N465&gt;6, "High", IF(N465&gt;=4, "Medium", "Low")))</f>
        <v/>
      </c>
      <c r="P465" s="6" t="n"/>
      <c r="Q465" s="5" t="n"/>
      <c r="R465" s="5" t="n"/>
      <c r="S465" s="5" t="n"/>
      <c r="T465" s="6" t="n"/>
      <c r="U465" s="6" t="n"/>
      <c r="V465" s="6" t="n"/>
      <c r="W465" s="6" t="n"/>
      <c r="X465" s="6" t="n"/>
      <c r="Y465" s="6" t="n"/>
    </row>
    <row r="466" ht="22" customHeight="1">
      <c r="A466" s="5" t="n"/>
      <c r="B466" s="6" t="n"/>
      <c r="C466" s="5" t="n"/>
      <c r="D466" s="5" t="n"/>
      <c r="E466" s="5" t="n"/>
      <c r="F466" s="6" t="n"/>
      <c r="G466" s="6" t="n"/>
      <c r="H466" s="7">
        <f>IF(AND(F466="",G466=""),"", "Risk of """ &amp; F466 &amp; """ because of """ &amp; SUBSTITUTE(G466, ", ", """ and """) &amp; """")</f>
        <v/>
      </c>
      <c r="I466" s="5" t="n"/>
      <c r="J466" s="5" t="n"/>
      <c r="K466" s="5" t="n"/>
      <c r="L466" s="8">
        <f>IF(E466="Confidential", 4, IF(E466="Sensitive", 3, IF(E466="Private", 2, IF(E466="Public", 1, ""))))</f>
        <v/>
      </c>
      <c r="M466" s="5" t="n"/>
      <c r="N466" s="8">
        <f>IF(OR(L466="",M466=""), "", L466*M466)</f>
        <v/>
      </c>
      <c r="O466" s="8">
        <f>IF(N466="","", IF(N466&gt;6, "High", IF(N466&gt;=4, "Medium", "Low")))</f>
        <v/>
      </c>
      <c r="P466" s="6" t="n"/>
      <c r="Q466" s="5" t="n"/>
      <c r="R466" s="5" t="n"/>
      <c r="S466" s="5" t="n"/>
      <c r="T466" s="6" t="n"/>
      <c r="U466" s="6" t="n"/>
      <c r="V466" s="6" t="n"/>
      <c r="W466" s="6" t="n"/>
      <c r="X466" s="6" t="n"/>
      <c r="Y466" s="6" t="n"/>
    </row>
    <row r="467" ht="22" customHeight="1">
      <c r="A467" s="5" t="n"/>
      <c r="B467" s="6" t="n"/>
      <c r="C467" s="5" t="n"/>
      <c r="D467" s="5" t="n"/>
      <c r="E467" s="5" t="n"/>
      <c r="F467" s="6" t="n"/>
      <c r="G467" s="6" t="n"/>
      <c r="H467" s="7">
        <f>IF(AND(F467="",G467=""),"", "Risk of """ &amp; F467 &amp; """ because of """ &amp; SUBSTITUTE(G467, ", ", """ and """) &amp; """")</f>
        <v/>
      </c>
      <c r="I467" s="5" t="n"/>
      <c r="J467" s="5" t="n"/>
      <c r="K467" s="5" t="n"/>
      <c r="L467" s="8">
        <f>IF(E467="Confidential", 4, IF(E467="Sensitive", 3, IF(E467="Private", 2, IF(E467="Public", 1, ""))))</f>
        <v/>
      </c>
      <c r="M467" s="5" t="n"/>
      <c r="N467" s="8">
        <f>IF(OR(L467="",M467=""), "", L467*M467)</f>
        <v/>
      </c>
      <c r="O467" s="8">
        <f>IF(N467="","", IF(N467&gt;6, "High", IF(N467&gt;=4, "Medium", "Low")))</f>
        <v/>
      </c>
      <c r="P467" s="6" t="n"/>
      <c r="Q467" s="5" t="n"/>
      <c r="R467" s="5" t="n"/>
      <c r="S467" s="5" t="n"/>
      <c r="T467" s="6" t="n"/>
      <c r="U467" s="6" t="n"/>
      <c r="V467" s="6" t="n"/>
      <c r="W467" s="6" t="n"/>
      <c r="X467" s="6" t="n"/>
      <c r="Y467" s="6" t="n"/>
    </row>
    <row r="468" ht="22" customHeight="1">
      <c r="A468" s="5" t="n"/>
      <c r="B468" s="6" t="n"/>
      <c r="C468" s="5" t="n"/>
      <c r="D468" s="5" t="n"/>
      <c r="E468" s="5" t="n"/>
      <c r="F468" s="6" t="n"/>
      <c r="G468" s="6" t="n"/>
      <c r="H468" s="7">
        <f>IF(AND(F468="",G468=""),"", "Risk of """ &amp; F468 &amp; """ because of """ &amp; SUBSTITUTE(G468, ", ", """ and """) &amp; """")</f>
        <v/>
      </c>
      <c r="I468" s="5" t="n"/>
      <c r="J468" s="5" t="n"/>
      <c r="K468" s="5" t="n"/>
      <c r="L468" s="8">
        <f>IF(E468="Confidential", 4, IF(E468="Sensitive", 3, IF(E468="Private", 2, IF(E468="Public", 1, ""))))</f>
        <v/>
      </c>
      <c r="M468" s="5" t="n"/>
      <c r="N468" s="8">
        <f>IF(OR(L468="",M468=""), "", L468*M468)</f>
        <v/>
      </c>
      <c r="O468" s="8">
        <f>IF(N468="","", IF(N468&gt;6, "High", IF(N468&gt;=4, "Medium", "Low")))</f>
        <v/>
      </c>
      <c r="P468" s="6" t="n"/>
      <c r="Q468" s="5" t="n"/>
      <c r="R468" s="5" t="n"/>
      <c r="S468" s="5" t="n"/>
      <c r="T468" s="6" t="n"/>
      <c r="U468" s="6" t="n"/>
      <c r="V468" s="6" t="n"/>
      <c r="W468" s="6" t="n"/>
      <c r="X468" s="6" t="n"/>
      <c r="Y468" s="6" t="n"/>
    </row>
    <row r="469" ht="22" customHeight="1">
      <c r="A469" s="5" t="n"/>
      <c r="B469" s="6" t="n"/>
      <c r="C469" s="5" t="n"/>
      <c r="D469" s="5" t="n"/>
      <c r="E469" s="5" t="n"/>
      <c r="F469" s="6" t="n"/>
      <c r="G469" s="6" t="n"/>
      <c r="H469" s="7">
        <f>IF(AND(F469="",G469=""),"", "Risk of """ &amp; F469 &amp; """ because of """ &amp; SUBSTITUTE(G469, ", ", """ and """) &amp; """")</f>
        <v/>
      </c>
      <c r="I469" s="5" t="n"/>
      <c r="J469" s="5" t="n"/>
      <c r="K469" s="5" t="n"/>
      <c r="L469" s="8">
        <f>IF(E469="Confidential", 4, IF(E469="Sensitive", 3, IF(E469="Private", 2, IF(E469="Public", 1, ""))))</f>
        <v/>
      </c>
      <c r="M469" s="5" t="n"/>
      <c r="N469" s="8">
        <f>IF(OR(L469="",M469=""), "", L469*M469)</f>
        <v/>
      </c>
      <c r="O469" s="8">
        <f>IF(N469="","", IF(N469&gt;6, "High", IF(N469&gt;=4, "Medium", "Low")))</f>
        <v/>
      </c>
      <c r="P469" s="6" t="n"/>
      <c r="Q469" s="5" t="n"/>
      <c r="R469" s="5" t="n"/>
      <c r="S469" s="5" t="n"/>
      <c r="T469" s="6" t="n"/>
      <c r="U469" s="6" t="n"/>
      <c r="V469" s="6" t="n"/>
      <c r="W469" s="6" t="n"/>
      <c r="X469" s="6" t="n"/>
      <c r="Y469" s="6" t="n"/>
    </row>
    <row r="470" ht="22" customHeight="1">
      <c r="A470" s="5" t="n"/>
      <c r="B470" s="6" t="n"/>
      <c r="C470" s="5" t="n"/>
      <c r="D470" s="5" t="n"/>
      <c r="E470" s="5" t="n"/>
      <c r="F470" s="6" t="n"/>
      <c r="G470" s="6" t="n"/>
      <c r="H470" s="7">
        <f>IF(AND(F470="",G470=""),"", "Risk of """ &amp; F470 &amp; """ because of """ &amp; SUBSTITUTE(G470, ", ", """ and """) &amp; """")</f>
        <v/>
      </c>
      <c r="I470" s="5" t="n"/>
      <c r="J470" s="5" t="n"/>
      <c r="K470" s="5" t="n"/>
      <c r="L470" s="8">
        <f>IF(E470="Confidential", 4, IF(E470="Sensitive", 3, IF(E470="Private", 2, IF(E470="Public", 1, ""))))</f>
        <v/>
      </c>
      <c r="M470" s="5" t="n"/>
      <c r="N470" s="8">
        <f>IF(OR(L470="",M470=""), "", L470*M470)</f>
        <v/>
      </c>
      <c r="O470" s="8">
        <f>IF(N470="","", IF(N470&gt;6, "High", IF(N470&gt;=4, "Medium", "Low")))</f>
        <v/>
      </c>
      <c r="P470" s="6" t="n"/>
      <c r="Q470" s="5" t="n"/>
      <c r="R470" s="5" t="n"/>
      <c r="S470" s="5" t="n"/>
      <c r="T470" s="6" t="n"/>
      <c r="U470" s="6" t="n"/>
      <c r="V470" s="6" t="n"/>
      <c r="W470" s="6" t="n"/>
      <c r="X470" s="6" t="n"/>
      <c r="Y470" s="6" t="n"/>
    </row>
    <row r="471" ht="22" customHeight="1">
      <c r="A471" s="5" t="n"/>
      <c r="B471" s="6" t="n"/>
      <c r="C471" s="5" t="n"/>
      <c r="D471" s="5" t="n"/>
      <c r="E471" s="5" t="n"/>
      <c r="F471" s="6" t="n"/>
      <c r="G471" s="6" t="n"/>
      <c r="H471" s="7">
        <f>IF(AND(F471="",G471=""),"", "Risk of """ &amp; F471 &amp; """ because of """ &amp; SUBSTITUTE(G471, ", ", """ and """) &amp; """")</f>
        <v/>
      </c>
      <c r="I471" s="5" t="n"/>
      <c r="J471" s="5" t="n"/>
      <c r="K471" s="5" t="n"/>
      <c r="L471" s="8">
        <f>IF(E471="Confidential", 4, IF(E471="Sensitive", 3, IF(E471="Private", 2, IF(E471="Public", 1, ""))))</f>
        <v/>
      </c>
      <c r="M471" s="5" t="n"/>
      <c r="N471" s="8">
        <f>IF(OR(L471="",M471=""), "", L471*M471)</f>
        <v/>
      </c>
      <c r="O471" s="8">
        <f>IF(N471="","", IF(N471&gt;6, "High", IF(N471&gt;=4, "Medium", "Low")))</f>
        <v/>
      </c>
      <c r="P471" s="6" t="n"/>
      <c r="Q471" s="5" t="n"/>
      <c r="R471" s="5" t="n"/>
      <c r="S471" s="5" t="n"/>
      <c r="T471" s="6" t="n"/>
      <c r="U471" s="6" t="n"/>
      <c r="V471" s="6" t="n"/>
      <c r="W471" s="6" t="n"/>
      <c r="X471" s="6" t="n"/>
      <c r="Y471" s="6" t="n"/>
    </row>
    <row r="472" ht="22" customHeight="1">
      <c r="A472" s="5" t="n"/>
      <c r="B472" s="6" t="n"/>
      <c r="C472" s="5" t="n"/>
      <c r="D472" s="5" t="n"/>
      <c r="E472" s="5" t="n"/>
      <c r="F472" s="6" t="n"/>
      <c r="G472" s="6" t="n"/>
      <c r="H472" s="7">
        <f>IF(AND(F472="",G472=""),"", "Risk of """ &amp; F472 &amp; """ because of """ &amp; SUBSTITUTE(G472, ", ", """ and """) &amp; """")</f>
        <v/>
      </c>
      <c r="I472" s="5" t="n"/>
      <c r="J472" s="5" t="n"/>
      <c r="K472" s="5" t="n"/>
      <c r="L472" s="8">
        <f>IF(E472="Confidential", 4, IF(E472="Sensitive", 3, IF(E472="Private", 2, IF(E472="Public", 1, ""))))</f>
        <v/>
      </c>
      <c r="M472" s="5" t="n"/>
      <c r="N472" s="8">
        <f>IF(OR(L472="",M472=""), "", L472*M472)</f>
        <v/>
      </c>
      <c r="O472" s="8">
        <f>IF(N472="","", IF(N472&gt;6, "High", IF(N472&gt;=4, "Medium", "Low")))</f>
        <v/>
      </c>
      <c r="P472" s="6" t="n"/>
      <c r="Q472" s="5" t="n"/>
      <c r="R472" s="5" t="n"/>
      <c r="S472" s="5" t="n"/>
      <c r="T472" s="6" t="n"/>
      <c r="U472" s="6" t="n"/>
      <c r="V472" s="6" t="n"/>
      <c r="W472" s="6" t="n"/>
      <c r="X472" s="6" t="n"/>
      <c r="Y472" s="6" t="n"/>
    </row>
    <row r="473" ht="22" customHeight="1">
      <c r="A473" s="5" t="n"/>
      <c r="B473" s="6" t="n"/>
      <c r="C473" s="5" t="n"/>
      <c r="D473" s="5" t="n"/>
      <c r="E473" s="5" t="n"/>
      <c r="F473" s="6" t="n"/>
      <c r="G473" s="6" t="n"/>
      <c r="H473" s="7">
        <f>IF(AND(F473="",G473=""),"", "Risk of """ &amp; F473 &amp; """ because of """ &amp; SUBSTITUTE(G473, ", ", """ and """) &amp; """")</f>
        <v/>
      </c>
      <c r="I473" s="5" t="n"/>
      <c r="J473" s="5" t="n"/>
      <c r="K473" s="5" t="n"/>
      <c r="L473" s="8">
        <f>IF(E473="Confidential", 4, IF(E473="Sensitive", 3, IF(E473="Private", 2, IF(E473="Public", 1, ""))))</f>
        <v/>
      </c>
      <c r="M473" s="5" t="n"/>
      <c r="N473" s="8">
        <f>IF(OR(L473="",M473=""), "", L473*M473)</f>
        <v/>
      </c>
      <c r="O473" s="8">
        <f>IF(N473="","", IF(N473&gt;6, "High", IF(N473&gt;=4, "Medium", "Low")))</f>
        <v/>
      </c>
      <c r="P473" s="6" t="n"/>
      <c r="Q473" s="5" t="n"/>
      <c r="R473" s="5" t="n"/>
      <c r="S473" s="5" t="n"/>
      <c r="T473" s="6" t="n"/>
      <c r="U473" s="6" t="n"/>
      <c r="V473" s="6" t="n"/>
      <c r="W473" s="6" t="n"/>
      <c r="X473" s="6" t="n"/>
      <c r="Y473" s="6" t="n"/>
    </row>
    <row r="474" ht="22" customHeight="1">
      <c r="A474" s="5" t="n"/>
      <c r="B474" s="6" t="n"/>
      <c r="C474" s="5" t="n"/>
      <c r="D474" s="5" t="n"/>
      <c r="E474" s="5" t="n"/>
      <c r="F474" s="6" t="n"/>
      <c r="G474" s="6" t="n"/>
      <c r="H474" s="7">
        <f>IF(AND(F474="",G474=""),"", "Risk of """ &amp; F474 &amp; """ because of """ &amp; SUBSTITUTE(G474, ", ", """ and """) &amp; """")</f>
        <v/>
      </c>
      <c r="I474" s="5" t="n"/>
      <c r="J474" s="5" t="n"/>
      <c r="K474" s="5" t="n"/>
      <c r="L474" s="8">
        <f>IF(E474="Confidential", 4, IF(E474="Sensitive", 3, IF(E474="Private", 2, IF(E474="Public", 1, ""))))</f>
        <v/>
      </c>
      <c r="M474" s="5" t="n"/>
      <c r="N474" s="8">
        <f>IF(OR(L474="",M474=""), "", L474*M474)</f>
        <v/>
      </c>
      <c r="O474" s="8">
        <f>IF(N474="","", IF(N474&gt;6, "High", IF(N474&gt;=4, "Medium", "Low")))</f>
        <v/>
      </c>
      <c r="P474" s="6" t="n"/>
      <c r="Q474" s="5" t="n"/>
      <c r="R474" s="5" t="n"/>
      <c r="S474" s="5" t="n"/>
      <c r="T474" s="6" t="n"/>
      <c r="U474" s="6" t="n"/>
      <c r="V474" s="6" t="n"/>
      <c r="W474" s="6" t="n"/>
      <c r="X474" s="6" t="n"/>
      <c r="Y474" s="6" t="n"/>
    </row>
    <row r="475" ht="22" customHeight="1">
      <c r="A475" s="5" t="n"/>
      <c r="B475" s="6" t="n"/>
      <c r="C475" s="5" t="n"/>
      <c r="D475" s="5" t="n"/>
      <c r="E475" s="5" t="n"/>
      <c r="F475" s="6" t="n"/>
      <c r="G475" s="6" t="n"/>
      <c r="H475" s="7">
        <f>IF(AND(F475="",G475=""),"", "Risk of """ &amp; F475 &amp; """ because of """ &amp; SUBSTITUTE(G475, ", ", """ and """) &amp; """")</f>
        <v/>
      </c>
      <c r="I475" s="5" t="n"/>
      <c r="J475" s="5" t="n"/>
      <c r="K475" s="5" t="n"/>
      <c r="L475" s="8">
        <f>IF(E475="Confidential", 4, IF(E475="Sensitive", 3, IF(E475="Private", 2, IF(E475="Public", 1, ""))))</f>
        <v/>
      </c>
      <c r="M475" s="5" t="n"/>
      <c r="N475" s="8">
        <f>IF(OR(L475="",M475=""), "", L475*M475)</f>
        <v/>
      </c>
      <c r="O475" s="8">
        <f>IF(N475="","", IF(N475&gt;6, "High", IF(N475&gt;=4, "Medium", "Low")))</f>
        <v/>
      </c>
      <c r="P475" s="6" t="n"/>
      <c r="Q475" s="5" t="n"/>
      <c r="R475" s="5" t="n"/>
      <c r="S475" s="5" t="n"/>
      <c r="T475" s="6" t="n"/>
      <c r="U475" s="6" t="n"/>
      <c r="V475" s="6" t="n"/>
      <c r="W475" s="6" t="n"/>
      <c r="X475" s="6" t="n"/>
      <c r="Y475" s="6" t="n"/>
    </row>
    <row r="476" ht="22" customHeight="1">
      <c r="A476" s="5" t="n"/>
      <c r="B476" s="6" t="n"/>
      <c r="C476" s="5" t="n"/>
      <c r="D476" s="5" t="n"/>
      <c r="E476" s="5" t="n"/>
      <c r="F476" s="6" t="n"/>
      <c r="G476" s="6" t="n"/>
      <c r="H476" s="7">
        <f>IF(AND(F476="",G476=""),"", "Risk of """ &amp; F476 &amp; """ because of """ &amp; SUBSTITUTE(G476, ", ", """ and """) &amp; """")</f>
        <v/>
      </c>
      <c r="I476" s="5" t="n"/>
      <c r="J476" s="5" t="n"/>
      <c r="K476" s="5" t="n"/>
      <c r="L476" s="8">
        <f>IF(E476="Confidential", 4, IF(E476="Sensitive", 3, IF(E476="Private", 2, IF(E476="Public", 1, ""))))</f>
        <v/>
      </c>
      <c r="M476" s="5" t="n"/>
      <c r="N476" s="8">
        <f>IF(OR(L476="",M476=""), "", L476*M476)</f>
        <v/>
      </c>
      <c r="O476" s="8">
        <f>IF(N476="","", IF(N476&gt;6, "High", IF(N476&gt;=4, "Medium", "Low")))</f>
        <v/>
      </c>
      <c r="P476" s="6" t="n"/>
      <c r="Q476" s="5" t="n"/>
      <c r="R476" s="5" t="n"/>
      <c r="S476" s="5" t="n"/>
      <c r="T476" s="6" t="n"/>
      <c r="U476" s="6" t="n"/>
      <c r="V476" s="6" t="n"/>
      <c r="W476" s="6" t="n"/>
      <c r="X476" s="6" t="n"/>
      <c r="Y476" s="6" t="n"/>
    </row>
    <row r="477" ht="22" customHeight="1">
      <c r="A477" s="5" t="n"/>
      <c r="B477" s="6" t="n"/>
      <c r="C477" s="5" t="n"/>
      <c r="D477" s="5" t="n"/>
      <c r="E477" s="5" t="n"/>
      <c r="F477" s="6" t="n"/>
      <c r="G477" s="6" t="n"/>
      <c r="H477" s="7">
        <f>IF(AND(F477="",G477=""),"", "Risk of """ &amp; F477 &amp; """ because of """ &amp; SUBSTITUTE(G477, ", ", """ and """) &amp; """")</f>
        <v/>
      </c>
      <c r="I477" s="5" t="n"/>
      <c r="J477" s="5" t="n"/>
      <c r="K477" s="5" t="n"/>
      <c r="L477" s="8">
        <f>IF(E477="Confidential", 4, IF(E477="Sensitive", 3, IF(E477="Private", 2, IF(E477="Public", 1, ""))))</f>
        <v/>
      </c>
      <c r="M477" s="5" t="n"/>
      <c r="N477" s="8">
        <f>IF(OR(L477="",M477=""), "", L477*M477)</f>
        <v/>
      </c>
      <c r="O477" s="8">
        <f>IF(N477="","", IF(N477&gt;6, "High", IF(N477&gt;=4, "Medium", "Low")))</f>
        <v/>
      </c>
      <c r="P477" s="6" t="n"/>
      <c r="Q477" s="5" t="n"/>
      <c r="R477" s="5" t="n"/>
      <c r="S477" s="5" t="n"/>
      <c r="T477" s="6" t="n"/>
      <c r="U477" s="6" t="n"/>
      <c r="V477" s="6" t="n"/>
      <c r="W477" s="6" t="n"/>
      <c r="X477" s="6" t="n"/>
      <c r="Y477" s="6" t="n"/>
    </row>
    <row r="478" ht="22" customHeight="1">
      <c r="A478" s="5" t="n"/>
      <c r="B478" s="6" t="n"/>
      <c r="C478" s="5" t="n"/>
      <c r="D478" s="5" t="n"/>
      <c r="E478" s="5" t="n"/>
      <c r="F478" s="6" t="n"/>
      <c r="G478" s="6" t="n"/>
      <c r="H478" s="7">
        <f>IF(AND(F478="",G478=""),"", "Risk of """ &amp; F478 &amp; """ because of """ &amp; SUBSTITUTE(G478, ", ", """ and """) &amp; """")</f>
        <v/>
      </c>
      <c r="I478" s="5" t="n"/>
      <c r="J478" s="5" t="n"/>
      <c r="K478" s="5" t="n"/>
      <c r="L478" s="8">
        <f>IF(E478="Confidential", 4, IF(E478="Sensitive", 3, IF(E478="Private", 2, IF(E478="Public", 1, ""))))</f>
        <v/>
      </c>
      <c r="M478" s="5" t="n"/>
      <c r="N478" s="8">
        <f>IF(OR(L478="",M478=""), "", L478*M478)</f>
        <v/>
      </c>
      <c r="O478" s="8">
        <f>IF(N478="","", IF(N478&gt;6, "High", IF(N478&gt;=4, "Medium", "Low")))</f>
        <v/>
      </c>
      <c r="P478" s="6" t="n"/>
      <c r="Q478" s="5" t="n"/>
      <c r="R478" s="5" t="n"/>
      <c r="S478" s="5" t="n"/>
      <c r="T478" s="6" t="n"/>
      <c r="U478" s="6" t="n"/>
      <c r="V478" s="6" t="n"/>
      <c r="W478" s="6" t="n"/>
      <c r="X478" s="6" t="n"/>
      <c r="Y478" s="6" t="n"/>
    </row>
    <row r="479" ht="22" customHeight="1">
      <c r="A479" s="5" t="n"/>
      <c r="B479" s="6" t="n"/>
      <c r="C479" s="5" t="n"/>
      <c r="D479" s="5" t="n"/>
      <c r="E479" s="5" t="n"/>
      <c r="F479" s="6" t="n"/>
      <c r="G479" s="6" t="n"/>
      <c r="H479" s="7">
        <f>IF(AND(F479="",G479=""),"", "Risk of """ &amp; F479 &amp; """ because of """ &amp; SUBSTITUTE(G479, ", ", """ and """) &amp; """")</f>
        <v/>
      </c>
      <c r="I479" s="5" t="n"/>
      <c r="J479" s="5" t="n"/>
      <c r="K479" s="5" t="n"/>
      <c r="L479" s="8">
        <f>IF(E479="Confidential", 4, IF(E479="Sensitive", 3, IF(E479="Private", 2, IF(E479="Public", 1, ""))))</f>
        <v/>
      </c>
      <c r="M479" s="5" t="n"/>
      <c r="N479" s="8">
        <f>IF(OR(L479="",M479=""), "", L479*M479)</f>
        <v/>
      </c>
      <c r="O479" s="8">
        <f>IF(N479="","", IF(N479&gt;6, "High", IF(N479&gt;=4, "Medium", "Low")))</f>
        <v/>
      </c>
      <c r="P479" s="6" t="n"/>
      <c r="Q479" s="5" t="n"/>
      <c r="R479" s="5" t="n"/>
      <c r="S479" s="5" t="n"/>
      <c r="T479" s="6" t="n"/>
      <c r="U479" s="6" t="n"/>
      <c r="V479" s="6" t="n"/>
      <c r="W479" s="6" t="n"/>
      <c r="X479" s="6" t="n"/>
      <c r="Y479" s="6" t="n"/>
    </row>
    <row r="480" ht="22" customHeight="1">
      <c r="A480" s="5" t="n"/>
      <c r="B480" s="6" t="n"/>
      <c r="C480" s="5" t="n"/>
      <c r="D480" s="5" t="n"/>
      <c r="E480" s="5" t="n"/>
      <c r="F480" s="6" t="n"/>
      <c r="G480" s="6" t="n"/>
      <c r="H480" s="7">
        <f>IF(AND(F480="",G480=""),"", "Risk of """ &amp; F480 &amp; """ because of """ &amp; SUBSTITUTE(G480, ", ", """ and """) &amp; """")</f>
        <v/>
      </c>
      <c r="I480" s="5" t="n"/>
      <c r="J480" s="5" t="n"/>
      <c r="K480" s="5" t="n"/>
      <c r="L480" s="8">
        <f>IF(E480="Confidential", 4, IF(E480="Sensitive", 3, IF(E480="Private", 2, IF(E480="Public", 1, ""))))</f>
        <v/>
      </c>
      <c r="M480" s="5" t="n"/>
      <c r="N480" s="8">
        <f>IF(OR(L480="",M480=""), "", L480*M480)</f>
        <v/>
      </c>
      <c r="O480" s="8">
        <f>IF(N480="","", IF(N480&gt;6, "High", IF(N480&gt;=4, "Medium", "Low")))</f>
        <v/>
      </c>
      <c r="P480" s="6" t="n"/>
      <c r="Q480" s="5" t="n"/>
      <c r="R480" s="5" t="n"/>
      <c r="S480" s="5" t="n"/>
      <c r="T480" s="6" t="n"/>
      <c r="U480" s="6" t="n"/>
      <c r="V480" s="6" t="n"/>
      <c r="W480" s="6" t="n"/>
      <c r="X480" s="6" t="n"/>
      <c r="Y480" s="6" t="n"/>
    </row>
    <row r="481" ht="22" customHeight="1">
      <c r="A481" s="5" t="n"/>
      <c r="B481" s="6" t="n"/>
      <c r="C481" s="5" t="n"/>
      <c r="D481" s="5" t="n"/>
      <c r="E481" s="5" t="n"/>
      <c r="F481" s="6" t="n"/>
      <c r="G481" s="6" t="n"/>
      <c r="H481" s="7">
        <f>IF(AND(F481="",G481=""),"", "Risk of """ &amp; F481 &amp; """ because of """ &amp; SUBSTITUTE(G481, ", ", """ and """) &amp; """")</f>
        <v/>
      </c>
      <c r="I481" s="5" t="n"/>
      <c r="J481" s="5" t="n"/>
      <c r="K481" s="5" t="n"/>
      <c r="L481" s="8">
        <f>IF(E481="Confidential", 4, IF(E481="Sensitive", 3, IF(E481="Private", 2, IF(E481="Public", 1, ""))))</f>
        <v/>
      </c>
      <c r="M481" s="5" t="n"/>
      <c r="N481" s="8">
        <f>IF(OR(L481="",M481=""), "", L481*M481)</f>
        <v/>
      </c>
      <c r="O481" s="8">
        <f>IF(N481="","", IF(N481&gt;6, "High", IF(N481&gt;=4, "Medium", "Low")))</f>
        <v/>
      </c>
      <c r="P481" s="6" t="n"/>
      <c r="Q481" s="5" t="n"/>
      <c r="R481" s="5" t="n"/>
      <c r="S481" s="5" t="n"/>
      <c r="T481" s="6" t="n"/>
      <c r="U481" s="6" t="n"/>
      <c r="V481" s="6" t="n"/>
      <c r="W481" s="6" t="n"/>
      <c r="X481" s="6" t="n"/>
      <c r="Y481" s="6" t="n"/>
    </row>
    <row r="482" ht="22" customHeight="1">
      <c r="A482" s="5" t="n"/>
      <c r="B482" s="6" t="n"/>
      <c r="C482" s="5" t="n"/>
      <c r="D482" s="5" t="n"/>
      <c r="E482" s="5" t="n"/>
      <c r="F482" s="6" t="n"/>
      <c r="G482" s="6" t="n"/>
      <c r="H482" s="7">
        <f>IF(AND(F482="",G482=""),"", "Risk of """ &amp; F482 &amp; """ because of """ &amp; SUBSTITUTE(G482, ", ", """ and """) &amp; """")</f>
        <v/>
      </c>
      <c r="I482" s="5" t="n"/>
      <c r="J482" s="5" t="n"/>
      <c r="K482" s="5" t="n"/>
      <c r="L482" s="8">
        <f>IF(E482="Confidential", 4, IF(E482="Sensitive", 3, IF(E482="Private", 2, IF(E482="Public", 1, ""))))</f>
        <v/>
      </c>
      <c r="M482" s="5" t="n"/>
      <c r="N482" s="8">
        <f>IF(OR(L482="",M482=""), "", L482*M482)</f>
        <v/>
      </c>
      <c r="O482" s="8">
        <f>IF(N482="","", IF(N482&gt;6, "High", IF(N482&gt;=4, "Medium", "Low")))</f>
        <v/>
      </c>
      <c r="P482" s="6" t="n"/>
      <c r="Q482" s="5" t="n"/>
      <c r="R482" s="5" t="n"/>
      <c r="S482" s="5" t="n"/>
      <c r="T482" s="6" t="n"/>
      <c r="U482" s="6" t="n"/>
      <c r="V482" s="6" t="n"/>
      <c r="W482" s="6" t="n"/>
      <c r="X482" s="6" t="n"/>
      <c r="Y482" s="6" t="n"/>
    </row>
    <row r="483" ht="22" customHeight="1">
      <c r="A483" s="5" t="n"/>
      <c r="B483" s="6" t="n"/>
      <c r="C483" s="5" t="n"/>
      <c r="D483" s="5" t="n"/>
      <c r="E483" s="5" t="n"/>
      <c r="F483" s="6" t="n"/>
      <c r="G483" s="6" t="n"/>
      <c r="H483" s="7">
        <f>IF(AND(F483="",G483=""),"", "Risk of """ &amp; F483 &amp; """ because of """ &amp; SUBSTITUTE(G483, ", ", """ and """) &amp; """")</f>
        <v/>
      </c>
      <c r="I483" s="5" t="n"/>
      <c r="J483" s="5" t="n"/>
      <c r="K483" s="5" t="n"/>
      <c r="L483" s="8">
        <f>IF(E483="Confidential", 4, IF(E483="Sensitive", 3, IF(E483="Private", 2, IF(E483="Public", 1, ""))))</f>
        <v/>
      </c>
      <c r="M483" s="5" t="n"/>
      <c r="N483" s="8">
        <f>IF(OR(L483="",M483=""), "", L483*M483)</f>
        <v/>
      </c>
      <c r="O483" s="8">
        <f>IF(N483="","", IF(N483&gt;6, "High", IF(N483&gt;=4, "Medium", "Low")))</f>
        <v/>
      </c>
      <c r="P483" s="6" t="n"/>
      <c r="Q483" s="5" t="n"/>
      <c r="R483" s="5" t="n"/>
      <c r="S483" s="5" t="n"/>
      <c r="T483" s="6" t="n"/>
      <c r="U483" s="6" t="n"/>
      <c r="V483" s="6" t="n"/>
      <c r="W483" s="6" t="n"/>
      <c r="X483" s="6" t="n"/>
      <c r="Y483" s="6" t="n"/>
    </row>
    <row r="484" ht="22" customHeight="1">
      <c r="A484" s="5" t="n"/>
      <c r="B484" s="6" t="n"/>
      <c r="C484" s="5" t="n"/>
      <c r="D484" s="5" t="n"/>
      <c r="E484" s="5" t="n"/>
      <c r="F484" s="6" t="n"/>
      <c r="G484" s="6" t="n"/>
      <c r="H484" s="7">
        <f>IF(AND(F484="",G484=""),"", "Risk of """ &amp; F484 &amp; """ because of """ &amp; SUBSTITUTE(G484, ", ", """ and """) &amp; """")</f>
        <v/>
      </c>
      <c r="I484" s="5" t="n"/>
      <c r="J484" s="5" t="n"/>
      <c r="K484" s="5" t="n"/>
      <c r="L484" s="8">
        <f>IF(E484="Confidential", 4, IF(E484="Sensitive", 3, IF(E484="Private", 2, IF(E484="Public", 1, ""))))</f>
        <v/>
      </c>
      <c r="M484" s="5" t="n"/>
      <c r="N484" s="8">
        <f>IF(OR(L484="",M484=""), "", L484*M484)</f>
        <v/>
      </c>
      <c r="O484" s="8">
        <f>IF(N484="","", IF(N484&gt;6, "High", IF(N484&gt;=4, "Medium", "Low")))</f>
        <v/>
      </c>
      <c r="P484" s="6" t="n"/>
      <c r="Q484" s="5" t="n"/>
      <c r="R484" s="5" t="n"/>
      <c r="S484" s="5" t="n"/>
      <c r="T484" s="6" t="n"/>
      <c r="U484" s="6" t="n"/>
      <c r="V484" s="6" t="n"/>
      <c r="W484" s="6" t="n"/>
      <c r="X484" s="6" t="n"/>
      <c r="Y484" s="6" t="n"/>
    </row>
    <row r="485" ht="22" customHeight="1">
      <c r="A485" s="5" t="n"/>
      <c r="B485" s="6" t="n"/>
      <c r="C485" s="5" t="n"/>
      <c r="D485" s="5" t="n"/>
      <c r="E485" s="5" t="n"/>
      <c r="F485" s="6" t="n"/>
      <c r="G485" s="6" t="n"/>
      <c r="H485" s="7">
        <f>IF(AND(F485="",G485=""),"", "Risk of """ &amp; F485 &amp; """ because of """ &amp; SUBSTITUTE(G485, ", ", """ and """) &amp; """")</f>
        <v/>
      </c>
      <c r="I485" s="5" t="n"/>
      <c r="J485" s="5" t="n"/>
      <c r="K485" s="5" t="n"/>
      <c r="L485" s="8">
        <f>IF(E485="Confidential", 4, IF(E485="Sensitive", 3, IF(E485="Private", 2, IF(E485="Public", 1, ""))))</f>
        <v/>
      </c>
      <c r="M485" s="5" t="n"/>
      <c r="N485" s="8">
        <f>IF(OR(L485="",M485=""), "", L485*M485)</f>
        <v/>
      </c>
      <c r="O485" s="8">
        <f>IF(N485="","", IF(N485&gt;6, "High", IF(N485&gt;=4, "Medium", "Low")))</f>
        <v/>
      </c>
      <c r="P485" s="6" t="n"/>
      <c r="Q485" s="5" t="n"/>
      <c r="R485" s="5" t="n"/>
      <c r="S485" s="5" t="n"/>
      <c r="T485" s="6" t="n"/>
      <c r="U485" s="6" t="n"/>
      <c r="V485" s="6" t="n"/>
      <c r="W485" s="6" t="n"/>
      <c r="X485" s="6" t="n"/>
      <c r="Y485" s="6" t="n"/>
    </row>
    <row r="486" ht="22" customHeight="1">
      <c r="A486" s="5" t="n"/>
      <c r="B486" s="6" t="n"/>
      <c r="C486" s="5" t="n"/>
      <c r="D486" s="5" t="n"/>
      <c r="E486" s="5" t="n"/>
      <c r="F486" s="6" t="n"/>
      <c r="G486" s="6" t="n"/>
      <c r="H486" s="7">
        <f>IF(AND(F486="",G486=""),"", "Risk of """ &amp; F486 &amp; """ because of """ &amp; SUBSTITUTE(G486, ", ", """ and """) &amp; """")</f>
        <v/>
      </c>
      <c r="I486" s="5" t="n"/>
      <c r="J486" s="5" t="n"/>
      <c r="K486" s="5" t="n"/>
      <c r="L486" s="8">
        <f>IF(E486="Confidential", 4, IF(E486="Sensitive", 3, IF(E486="Private", 2, IF(E486="Public", 1, ""))))</f>
        <v/>
      </c>
      <c r="M486" s="5" t="n"/>
      <c r="N486" s="8">
        <f>IF(OR(L486="",M486=""), "", L486*M486)</f>
        <v/>
      </c>
      <c r="O486" s="8">
        <f>IF(N486="","", IF(N486&gt;6, "High", IF(N486&gt;=4, "Medium", "Low")))</f>
        <v/>
      </c>
      <c r="P486" s="6" t="n"/>
      <c r="Q486" s="5" t="n"/>
      <c r="R486" s="5" t="n"/>
      <c r="S486" s="5" t="n"/>
      <c r="T486" s="6" t="n"/>
      <c r="U486" s="6" t="n"/>
      <c r="V486" s="6" t="n"/>
      <c r="W486" s="6" t="n"/>
      <c r="X486" s="6" t="n"/>
      <c r="Y486" s="6" t="n"/>
    </row>
    <row r="487" ht="22" customHeight="1">
      <c r="A487" s="5" t="n"/>
      <c r="B487" s="6" t="n"/>
      <c r="C487" s="5" t="n"/>
      <c r="D487" s="5" t="n"/>
      <c r="E487" s="5" t="n"/>
      <c r="F487" s="6" t="n"/>
      <c r="G487" s="6" t="n"/>
      <c r="H487" s="7">
        <f>IF(AND(F487="",G487=""),"", "Risk of """ &amp; F487 &amp; """ because of """ &amp; SUBSTITUTE(G487, ", ", """ and """) &amp; """")</f>
        <v/>
      </c>
      <c r="I487" s="5" t="n"/>
      <c r="J487" s="5" t="n"/>
      <c r="K487" s="5" t="n"/>
      <c r="L487" s="8">
        <f>IF(E487="Confidential", 4, IF(E487="Sensitive", 3, IF(E487="Private", 2, IF(E487="Public", 1, ""))))</f>
        <v/>
      </c>
      <c r="M487" s="5" t="n"/>
      <c r="N487" s="8">
        <f>IF(OR(L487="",M487=""), "", L487*M487)</f>
        <v/>
      </c>
      <c r="O487" s="8">
        <f>IF(N487="","", IF(N487&gt;6, "High", IF(N487&gt;=4, "Medium", "Low")))</f>
        <v/>
      </c>
      <c r="P487" s="6" t="n"/>
      <c r="Q487" s="5" t="n"/>
      <c r="R487" s="5" t="n"/>
      <c r="S487" s="5" t="n"/>
      <c r="T487" s="6" t="n"/>
      <c r="U487" s="6" t="n"/>
      <c r="V487" s="6" t="n"/>
      <c r="W487" s="6" t="n"/>
      <c r="X487" s="6" t="n"/>
      <c r="Y487" s="6" t="n"/>
    </row>
    <row r="488" ht="22" customHeight="1">
      <c r="A488" s="5" t="n"/>
      <c r="B488" s="6" t="n"/>
      <c r="C488" s="5" t="n"/>
      <c r="D488" s="5" t="n"/>
      <c r="E488" s="5" t="n"/>
      <c r="F488" s="6" t="n"/>
      <c r="G488" s="6" t="n"/>
      <c r="H488" s="7">
        <f>IF(AND(F488="",G488=""),"", "Risk of """ &amp; F488 &amp; """ because of """ &amp; SUBSTITUTE(G488, ", ", """ and """) &amp; """")</f>
        <v/>
      </c>
      <c r="I488" s="5" t="n"/>
      <c r="J488" s="5" t="n"/>
      <c r="K488" s="5" t="n"/>
      <c r="L488" s="8">
        <f>IF(E488="Confidential", 4, IF(E488="Sensitive", 3, IF(E488="Private", 2, IF(E488="Public", 1, ""))))</f>
        <v/>
      </c>
      <c r="M488" s="5" t="n"/>
      <c r="N488" s="8">
        <f>IF(OR(L488="",M488=""), "", L488*M488)</f>
        <v/>
      </c>
      <c r="O488" s="8">
        <f>IF(N488="","", IF(N488&gt;6, "High", IF(N488&gt;=4, "Medium", "Low")))</f>
        <v/>
      </c>
      <c r="P488" s="6" t="n"/>
      <c r="Q488" s="5" t="n"/>
      <c r="R488" s="5" t="n"/>
      <c r="S488" s="5" t="n"/>
      <c r="T488" s="6" t="n"/>
      <c r="U488" s="6" t="n"/>
      <c r="V488" s="6" t="n"/>
      <c r="W488" s="6" t="n"/>
      <c r="X488" s="6" t="n"/>
      <c r="Y488" s="6" t="n"/>
    </row>
    <row r="489" ht="22" customHeight="1">
      <c r="A489" s="5" t="n"/>
      <c r="B489" s="6" t="n"/>
      <c r="C489" s="5" t="n"/>
      <c r="D489" s="5" t="n"/>
      <c r="E489" s="5" t="n"/>
      <c r="F489" s="6" t="n"/>
      <c r="G489" s="6" t="n"/>
      <c r="H489" s="7">
        <f>IF(AND(F489="",G489=""),"", "Risk of """ &amp; F489 &amp; """ because of """ &amp; SUBSTITUTE(G489, ", ", """ and """) &amp; """")</f>
        <v/>
      </c>
      <c r="I489" s="5" t="n"/>
      <c r="J489" s="5" t="n"/>
      <c r="K489" s="5" t="n"/>
      <c r="L489" s="8">
        <f>IF(E489="Confidential", 4, IF(E489="Sensitive", 3, IF(E489="Private", 2, IF(E489="Public", 1, ""))))</f>
        <v/>
      </c>
      <c r="M489" s="5" t="n"/>
      <c r="N489" s="8">
        <f>IF(OR(L489="",M489=""), "", L489*M489)</f>
        <v/>
      </c>
      <c r="O489" s="8">
        <f>IF(N489="","", IF(N489&gt;6, "High", IF(N489&gt;=4, "Medium", "Low")))</f>
        <v/>
      </c>
      <c r="P489" s="6" t="n"/>
      <c r="Q489" s="5" t="n"/>
      <c r="R489" s="5" t="n"/>
      <c r="S489" s="5" t="n"/>
      <c r="T489" s="6" t="n"/>
      <c r="U489" s="6" t="n"/>
      <c r="V489" s="6" t="n"/>
      <c r="W489" s="6" t="n"/>
      <c r="X489" s="6" t="n"/>
      <c r="Y489" s="6" t="n"/>
    </row>
    <row r="490" ht="22" customHeight="1">
      <c r="A490" s="5" t="n"/>
      <c r="B490" s="6" t="n"/>
      <c r="C490" s="5" t="n"/>
      <c r="D490" s="5" t="n"/>
      <c r="E490" s="5" t="n"/>
      <c r="F490" s="6" t="n"/>
      <c r="G490" s="6" t="n"/>
      <c r="H490" s="7">
        <f>IF(AND(F490="",G490=""),"", "Risk of """ &amp; F490 &amp; """ because of """ &amp; SUBSTITUTE(G490, ", ", """ and """) &amp; """")</f>
        <v/>
      </c>
      <c r="I490" s="5" t="n"/>
      <c r="J490" s="5" t="n"/>
      <c r="K490" s="5" t="n"/>
      <c r="L490" s="8">
        <f>IF(E490="Confidential", 4, IF(E490="Sensitive", 3, IF(E490="Private", 2, IF(E490="Public", 1, ""))))</f>
        <v/>
      </c>
      <c r="M490" s="5" t="n"/>
      <c r="N490" s="8">
        <f>IF(OR(L490="",M490=""), "", L490*M490)</f>
        <v/>
      </c>
      <c r="O490" s="8">
        <f>IF(N490="","", IF(N490&gt;6, "High", IF(N490&gt;=4, "Medium", "Low")))</f>
        <v/>
      </c>
      <c r="P490" s="6" t="n"/>
      <c r="Q490" s="5" t="n"/>
      <c r="R490" s="5" t="n"/>
      <c r="S490" s="5" t="n"/>
      <c r="T490" s="6" t="n"/>
      <c r="U490" s="6" t="n"/>
      <c r="V490" s="6" t="n"/>
      <c r="W490" s="6" t="n"/>
      <c r="X490" s="6" t="n"/>
      <c r="Y490" s="6" t="n"/>
    </row>
    <row r="491" ht="22" customHeight="1">
      <c r="A491" s="5" t="n"/>
      <c r="B491" s="6" t="n"/>
      <c r="C491" s="5" t="n"/>
      <c r="D491" s="5" t="n"/>
      <c r="E491" s="5" t="n"/>
      <c r="F491" s="6" t="n"/>
      <c r="G491" s="6" t="n"/>
      <c r="H491" s="7">
        <f>IF(AND(F491="",G491=""),"", "Risk of """ &amp; F491 &amp; """ because of """ &amp; SUBSTITUTE(G491, ", ", """ and """) &amp; """")</f>
        <v/>
      </c>
      <c r="I491" s="5" t="n"/>
      <c r="J491" s="5" t="n"/>
      <c r="K491" s="5" t="n"/>
      <c r="L491" s="8">
        <f>IF(E491="Confidential", 4, IF(E491="Sensitive", 3, IF(E491="Private", 2, IF(E491="Public", 1, ""))))</f>
        <v/>
      </c>
      <c r="M491" s="5" t="n"/>
      <c r="N491" s="8">
        <f>IF(OR(L491="",M491=""), "", L491*M491)</f>
        <v/>
      </c>
      <c r="O491" s="8">
        <f>IF(N491="","", IF(N491&gt;6, "High", IF(N491&gt;=4, "Medium", "Low")))</f>
        <v/>
      </c>
      <c r="P491" s="6" t="n"/>
      <c r="Q491" s="5" t="n"/>
      <c r="R491" s="5" t="n"/>
      <c r="S491" s="5" t="n"/>
      <c r="T491" s="6" t="n"/>
      <c r="U491" s="6" t="n"/>
      <c r="V491" s="6" t="n"/>
      <c r="W491" s="6" t="n"/>
      <c r="X491" s="6" t="n"/>
      <c r="Y491" s="6" t="n"/>
    </row>
    <row r="492" ht="22" customHeight="1">
      <c r="A492" s="5" t="n"/>
      <c r="B492" s="6" t="n"/>
      <c r="C492" s="5" t="n"/>
      <c r="D492" s="5" t="n"/>
      <c r="E492" s="5" t="n"/>
      <c r="F492" s="6" t="n"/>
      <c r="G492" s="6" t="n"/>
      <c r="H492" s="7">
        <f>IF(AND(F492="",G492=""),"", "Risk of """ &amp; F492 &amp; """ because of """ &amp; SUBSTITUTE(G492, ", ", """ and """) &amp; """")</f>
        <v/>
      </c>
      <c r="I492" s="5" t="n"/>
      <c r="J492" s="5" t="n"/>
      <c r="K492" s="5" t="n"/>
      <c r="L492" s="8">
        <f>IF(E492="Confidential", 4, IF(E492="Sensitive", 3, IF(E492="Private", 2, IF(E492="Public", 1, ""))))</f>
        <v/>
      </c>
      <c r="M492" s="5" t="n"/>
      <c r="N492" s="8">
        <f>IF(OR(L492="",M492=""), "", L492*M492)</f>
        <v/>
      </c>
      <c r="O492" s="8">
        <f>IF(N492="","", IF(N492&gt;6, "High", IF(N492&gt;=4, "Medium", "Low")))</f>
        <v/>
      </c>
      <c r="P492" s="6" t="n"/>
      <c r="Q492" s="5" t="n"/>
      <c r="R492" s="5" t="n"/>
      <c r="S492" s="5" t="n"/>
      <c r="T492" s="6" t="n"/>
      <c r="U492" s="6" t="n"/>
      <c r="V492" s="6" t="n"/>
      <c r="W492" s="6" t="n"/>
      <c r="X492" s="6" t="n"/>
      <c r="Y492" s="6" t="n"/>
    </row>
    <row r="493" ht="22" customHeight="1">
      <c r="A493" s="5" t="n"/>
      <c r="B493" s="6" t="n"/>
      <c r="C493" s="5" t="n"/>
      <c r="D493" s="5" t="n"/>
      <c r="E493" s="5" t="n"/>
      <c r="F493" s="6" t="n"/>
      <c r="G493" s="6" t="n"/>
      <c r="H493" s="7">
        <f>IF(AND(F493="",G493=""),"", "Risk of """ &amp; F493 &amp; """ because of """ &amp; SUBSTITUTE(G493, ", ", """ and """) &amp; """")</f>
        <v/>
      </c>
      <c r="I493" s="5" t="n"/>
      <c r="J493" s="5" t="n"/>
      <c r="K493" s="5" t="n"/>
      <c r="L493" s="8">
        <f>IF(E493="Confidential", 4, IF(E493="Sensitive", 3, IF(E493="Private", 2, IF(E493="Public", 1, ""))))</f>
        <v/>
      </c>
      <c r="M493" s="5" t="n"/>
      <c r="N493" s="8">
        <f>IF(OR(L493="",M493=""), "", L493*M493)</f>
        <v/>
      </c>
      <c r="O493" s="8">
        <f>IF(N493="","", IF(N493&gt;6, "High", IF(N493&gt;=4, "Medium", "Low")))</f>
        <v/>
      </c>
      <c r="P493" s="6" t="n"/>
      <c r="Q493" s="5" t="n"/>
      <c r="R493" s="5" t="n"/>
      <c r="S493" s="5" t="n"/>
      <c r="T493" s="6" t="n"/>
      <c r="U493" s="6" t="n"/>
      <c r="V493" s="6" t="n"/>
      <c r="W493" s="6" t="n"/>
      <c r="X493" s="6" t="n"/>
      <c r="Y493" s="6" t="n"/>
    </row>
    <row r="494" ht="22" customHeight="1">
      <c r="A494" s="5" t="n"/>
      <c r="B494" s="6" t="n"/>
      <c r="C494" s="5" t="n"/>
      <c r="D494" s="5" t="n"/>
      <c r="E494" s="5" t="n"/>
      <c r="F494" s="6" t="n"/>
      <c r="G494" s="6" t="n"/>
      <c r="H494" s="7">
        <f>IF(AND(F494="",G494=""),"", "Risk of """ &amp; F494 &amp; """ because of """ &amp; SUBSTITUTE(G494, ", ", """ and """) &amp; """")</f>
        <v/>
      </c>
      <c r="I494" s="5" t="n"/>
      <c r="J494" s="5" t="n"/>
      <c r="K494" s="5" t="n"/>
      <c r="L494" s="8">
        <f>IF(E494="Confidential", 4, IF(E494="Sensitive", 3, IF(E494="Private", 2, IF(E494="Public", 1, ""))))</f>
        <v/>
      </c>
      <c r="M494" s="5" t="n"/>
      <c r="N494" s="8">
        <f>IF(OR(L494="",M494=""), "", L494*M494)</f>
        <v/>
      </c>
      <c r="O494" s="8">
        <f>IF(N494="","", IF(N494&gt;6, "High", IF(N494&gt;=4, "Medium", "Low")))</f>
        <v/>
      </c>
      <c r="P494" s="6" t="n"/>
      <c r="Q494" s="5" t="n"/>
      <c r="R494" s="5" t="n"/>
      <c r="S494" s="5" t="n"/>
      <c r="T494" s="6" t="n"/>
      <c r="U494" s="6" t="n"/>
      <c r="V494" s="6" t="n"/>
      <c r="W494" s="6" t="n"/>
      <c r="X494" s="6" t="n"/>
      <c r="Y494" s="6" t="n"/>
    </row>
    <row r="495" ht="22" customHeight="1">
      <c r="A495" s="5" t="n"/>
      <c r="B495" s="6" t="n"/>
      <c r="C495" s="5" t="n"/>
      <c r="D495" s="5" t="n"/>
      <c r="E495" s="5" t="n"/>
      <c r="F495" s="6" t="n"/>
      <c r="G495" s="6" t="n"/>
      <c r="H495" s="7">
        <f>IF(AND(F495="",G495=""),"", "Risk of """ &amp; F495 &amp; """ because of """ &amp; SUBSTITUTE(G495, ", ", """ and """) &amp; """")</f>
        <v/>
      </c>
      <c r="I495" s="5" t="n"/>
      <c r="J495" s="5" t="n"/>
      <c r="K495" s="5" t="n"/>
      <c r="L495" s="8">
        <f>IF(E495="Confidential", 4, IF(E495="Sensitive", 3, IF(E495="Private", 2, IF(E495="Public", 1, ""))))</f>
        <v/>
      </c>
      <c r="M495" s="5" t="n"/>
      <c r="N495" s="8">
        <f>IF(OR(L495="",M495=""), "", L495*M495)</f>
        <v/>
      </c>
      <c r="O495" s="8">
        <f>IF(N495="","", IF(N495&gt;6, "High", IF(N495&gt;=4, "Medium", "Low")))</f>
        <v/>
      </c>
      <c r="P495" s="6" t="n"/>
      <c r="Q495" s="5" t="n"/>
      <c r="R495" s="5" t="n"/>
      <c r="S495" s="5" t="n"/>
      <c r="T495" s="6" t="n"/>
      <c r="U495" s="6" t="n"/>
      <c r="V495" s="6" t="n"/>
      <c r="W495" s="6" t="n"/>
      <c r="X495" s="6" t="n"/>
      <c r="Y495" s="6" t="n"/>
    </row>
    <row r="496" ht="22" customHeight="1">
      <c r="A496" s="5" t="n"/>
      <c r="B496" s="6" t="n"/>
      <c r="C496" s="5" t="n"/>
      <c r="D496" s="5" t="n"/>
      <c r="E496" s="5" t="n"/>
      <c r="F496" s="6" t="n"/>
      <c r="G496" s="6" t="n"/>
      <c r="H496" s="7">
        <f>IF(AND(F496="",G496=""),"", "Risk of """ &amp; F496 &amp; """ because of """ &amp; SUBSTITUTE(G496, ", ", """ and """) &amp; """")</f>
        <v/>
      </c>
      <c r="I496" s="5" t="n"/>
      <c r="J496" s="5" t="n"/>
      <c r="K496" s="5" t="n"/>
      <c r="L496" s="8">
        <f>IF(E496="Confidential", 4, IF(E496="Sensitive", 3, IF(E496="Private", 2, IF(E496="Public", 1, ""))))</f>
        <v/>
      </c>
      <c r="M496" s="5" t="n"/>
      <c r="N496" s="8">
        <f>IF(OR(L496="",M496=""), "", L496*M496)</f>
        <v/>
      </c>
      <c r="O496" s="8">
        <f>IF(N496="","", IF(N496&gt;6, "High", IF(N496&gt;=4, "Medium", "Low")))</f>
        <v/>
      </c>
      <c r="P496" s="6" t="n"/>
      <c r="Q496" s="5" t="n"/>
      <c r="R496" s="5" t="n"/>
      <c r="S496" s="5" t="n"/>
      <c r="T496" s="6" t="n"/>
      <c r="U496" s="6" t="n"/>
      <c r="V496" s="6" t="n"/>
      <c r="W496" s="6" t="n"/>
      <c r="X496" s="6" t="n"/>
      <c r="Y496" s="6" t="n"/>
    </row>
    <row r="497" ht="22" customHeight="1">
      <c r="A497" s="5" t="n"/>
      <c r="B497" s="6" t="n"/>
      <c r="C497" s="5" t="n"/>
      <c r="D497" s="5" t="n"/>
      <c r="E497" s="5" t="n"/>
      <c r="F497" s="6" t="n"/>
      <c r="G497" s="6" t="n"/>
      <c r="H497" s="7">
        <f>IF(AND(F497="",G497=""),"", "Risk of """ &amp; F497 &amp; """ because of """ &amp; SUBSTITUTE(G497, ", ", """ and """) &amp; """")</f>
        <v/>
      </c>
      <c r="I497" s="5" t="n"/>
      <c r="J497" s="5" t="n"/>
      <c r="K497" s="5" t="n"/>
      <c r="L497" s="8">
        <f>IF(E497="Confidential", 4, IF(E497="Sensitive", 3, IF(E497="Private", 2, IF(E497="Public", 1, ""))))</f>
        <v/>
      </c>
      <c r="M497" s="5" t="n"/>
      <c r="N497" s="8">
        <f>IF(OR(L497="",M497=""), "", L497*M497)</f>
        <v/>
      </c>
      <c r="O497" s="8">
        <f>IF(N497="","", IF(N497&gt;6, "High", IF(N497&gt;=4, "Medium", "Low")))</f>
        <v/>
      </c>
      <c r="P497" s="6" t="n"/>
      <c r="Q497" s="5" t="n"/>
      <c r="R497" s="5" t="n"/>
      <c r="S497" s="5" t="n"/>
      <c r="T497" s="6" t="n"/>
      <c r="U497" s="6" t="n"/>
      <c r="V497" s="6" t="n"/>
      <c r="W497" s="6" t="n"/>
      <c r="X497" s="6" t="n"/>
      <c r="Y497" s="6" t="n"/>
    </row>
    <row r="498" ht="22" customHeight="1">
      <c r="A498" s="5" t="n"/>
      <c r="B498" s="6" t="n"/>
      <c r="C498" s="5" t="n"/>
      <c r="D498" s="5" t="n"/>
      <c r="E498" s="5" t="n"/>
      <c r="F498" s="6" t="n"/>
      <c r="G498" s="6" t="n"/>
      <c r="H498" s="7">
        <f>IF(AND(F498="",G498=""),"", "Risk of """ &amp; F498 &amp; """ because of """ &amp; SUBSTITUTE(G498, ", ", """ and """) &amp; """")</f>
        <v/>
      </c>
      <c r="I498" s="5" t="n"/>
      <c r="J498" s="5" t="n"/>
      <c r="K498" s="5" t="n"/>
      <c r="L498" s="8">
        <f>IF(E498="Confidential", 4, IF(E498="Sensitive", 3, IF(E498="Private", 2, IF(E498="Public", 1, ""))))</f>
        <v/>
      </c>
      <c r="M498" s="5" t="n"/>
      <c r="N498" s="8">
        <f>IF(OR(L498="",M498=""), "", L498*M498)</f>
        <v/>
      </c>
      <c r="O498" s="8">
        <f>IF(N498="","", IF(N498&gt;6, "High", IF(N498&gt;=4, "Medium", "Low")))</f>
        <v/>
      </c>
      <c r="P498" s="6" t="n"/>
      <c r="Q498" s="5" t="n"/>
      <c r="R498" s="5" t="n"/>
      <c r="S498" s="5" t="n"/>
      <c r="T498" s="6" t="n"/>
      <c r="U498" s="6" t="n"/>
      <c r="V498" s="6" t="n"/>
      <c r="W498" s="6" t="n"/>
      <c r="X498" s="6" t="n"/>
      <c r="Y498" s="6" t="n"/>
    </row>
    <row r="499" ht="22" customHeight="1">
      <c r="A499" s="5" t="n"/>
      <c r="B499" s="6" t="n"/>
      <c r="C499" s="5" t="n"/>
      <c r="D499" s="5" t="n"/>
      <c r="E499" s="5" t="n"/>
      <c r="F499" s="6" t="n"/>
      <c r="G499" s="6" t="n"/>
      <c r="H499" s="7">
        <f>IF(AND(F499="",G499=""),"", "Risk of """ &amp; F499 &amp; """ because of """ &amp; SUBSTITUTE(G499, ", ", """ and """) &amp; """")</f>
        <v/>
      </c>
      <c r="I499" s="5" t="n"/>
      <c r="J499" s="5" t="n"/>
      <c r="K499" s="5" t="n"/>
      <c r="L499" s="8">
        <f>IF(E499="Confidential", 4, IF(E499="Sensitive", 3, IF(E499="Private", 2, IF(E499="Public", 1, ""))))</f>
        <v/>
      </c>
      <c r="M499" s="5" t="n"/>
      <c r="N499" s="8">
        <f>IF(OR(L499="",M499=""), "", L499*M499)</f>
        <v/>
      </c>
      <c r="O499" s="8">
        <f>IF(N499="","", IF(N499&gt;6, "High", IF(N499&gt;=4, "Medium", "Low")))</f>
        <v/>
      </c>
      <c r="P499" s="6" t="n"/>
      <c r="Q499" s="5" t="n"/>
      <c r="R499" s="5" t="n"/>
      <c r="S499" s="5" t="n"/>
      <c r="T499" s="6" t="n"/>
      <c r="U499" s="6" t="n"/>
      <c r="V499" s="6" t="n"/>
      <c r="W499" s="6" t="n"/>
      <c r="X499" s="6" t="n"/>
      <c r="Y499" s="6" t="n"/>
    </row>
    <row r="500" ht="22" customHeight="1">
      <c r="A500" s="5" t="n"/>
      <c r="B500" s="6" t="n"/>
      <c r="C500" s="5" t="n"/>
      <c r="D500" s="5" t="n"/>
      <c r="E500" s="5" t="n"/>
      <c r="F500" s="6" t="n"/>
      <c r="G500" s="6" t="n"/>
      <c r="H500" s="7">
        <f>IF(AND(F500="",G500=""),"", "Risk of """ &amp; F500 &amp; """ because of """ &amp; SUBSTITUTE(G500, ", ", """ and """) &amp; """")</f>
        <v/>
      </c>
      <c r="I500" s="5" t="n"/>
      <c r="J500" s="5" t="n"/>
      <c r="K500" s="5" t="n"/>
      <c r="L500" s="8">
        <f>IF(E500="Confidential", 4, IF(E500="Sensitive", 3, IF(E500="Private", 2, IF(E500="Public", 1, ""))))</f>
        <v/>
      </c>
      <c r="M500" s="5" t="n"/>
      <c r="N500" s="8">
        <f>IF(OR(L500="",M500=""), "", L500*M500)</f>
        <v/>
      </c>
      <c r="O500" s="8">
        <f>IF(N500="","", IF(N500&gt;6, "High", IF(N500&gt;=4, "Medium", "Low")))</f>
        <v/>
      </c>
      <c r="P500" s="6" t="n"/>
      <c r="Q500" s="5" t="n"/>
      <c r="R500" s="5" t="n"/>
      <c r="S500" s="5" t="n"/>
      <c r="T500" s="6" t="n"/>
      <c r="U500" s="6" t="n"/>
      <c r="V500" s="6" t="n"/>
      <c r="W500" s="6" t="n"/>
      <c r="X500" s="6" t="n"/>
      <c r="Y500" s="6" t="n"/>
    </row>
  </sheetData>
  <dataValidations count="3">
    <dataValidation sqref="D2:D500" showDropDown="0" showInputMessage="0" showErrorMessage="0" allowBlank="1" type="list">
      <formula1>"Security, Privacy, Artificial Intelligence, BIMS, ITSM, Resillience"</formula1>
    </dataValidation>
    <dataValidation sqref="E2:E500" showDropDown="0" showInputMessage="0" showErrorMessage="0" allowBlank="1" type="list">
      <formula1>"Public, Private, Sensitive, Confidential"</formula1>
    </dataValidation>
    <dataValidation sqref="I2:K500 M2:M500 R2:S500" showDropDown="0" showInputMessage="0" showErrorMessage="0" allowBlank="1" type="list">
      <formula1>"1, 2, 3, 4"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22" customWidth="1" min="4" max="4"/>
    <col width="16" customWidth="1" min="5" max="5"/>
    <col width="26" customWidth="1" min="6" max="6"/>
    <col width="32" customWidth="1" min="7" max="7"/>
    <col width="38" customWidth="1" min="8" max="8"/>
    <col width="16" customWidth="1" min="9" max="9"/>
    <col width="14" customWidth="1" min="10" max="10"/>
    <col width="15" customWidth="1" min="11" max="11"/>
    <col width="12" customWidth="1" min="12" max="12"/>
    <col width="14" customWidth="1" min="13" max="13"/>
    <col width="18" customWidth="1" min="14" max="14"/>
    <col width="18" customWidth="1" min="15" max="15"/>
    <col width="26" customWidth="1" min="16" max="16"/>
    <col width="30" customWidth="1" min="17" max="17"/>
    <col width="2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36" customHeight="1">
      <c r="A1" s="9" t="inlineStr">
        <is>
          <t>Risk ID</t>
        </is>
      </c>
      <c r="B1" s="9" t="inlineStr">
        <is>
          <t>Department</t>
        </is>
      </c>
      <c r="C1" s="9" t="inlineStr">
        <is>
          <t>Date</t>
        </is>
      </c>
      <c r="D1" s="9" t="inlineStr">
        <is>
          <t>Risk Type</t>
        </is>
      </c>
      <c r="E1" s="9" t="inlineStr">
        <is>
          <t>Asset Type</t>
        </is>
      </c>
      <c r="F1" s="9" t="inlineStr">
        <is>
          <t>Threat</t>
        </is>
      </c>
      <c r="G1" s="9" t="inlineStr">
        <is>
          <t>Vulnerabilities</t>
        </is>
      </c>
      <c r="H1" s="9" t="inlineStr">
        <is>
          <t>Risk Description</t>
        </is>
      </c>
      <c r="I1" s="9" t="inlineStr">
        <is>
          <t>Confidentiality</t>
        </is>
      </c>
      <c r="J1" s="9" t="inlineStr">
        <is>
          <t>Integrity</t>
        </is>
      </c>
      <c r="K1" s="9" t="inlineStr">
        <is>
          <t>Availability</t>
        </is>
      </c>
      <c r="L1" s="9" t="inlineStr">
        <is>
          <t>Impact</t>
        </is>
      </c>
      <c r="M1" s="9" t="inlineStr">
        <is>
          <t>Likelihood</t>
        </is>
      </c>
      <c r="N1" s="9" t="inlineStr">
        <is>
          <t>Current Risk Score</t>
        </is>
      </c>
      <c r="O1" s="9" t="inlineStr">
        <is>
          <t>Current Risk Level</t>
        </is>
      </c>
      <c r="P1" s="9" t="inlineStr">
        <is>
          <t>Existing Controls</t>
        </is>
      </c>
      <c r="Q1" s="9" t="inlineStr">
        <is>
          <t>No. of Days to Implement Treatment</t>
        </is>
      </c>
      <c r="R1" s="9" t="inlineStr">
        <is>
          <t>Likelihood After Treatment</t>
        </is>
      </c>
      <c r="S1" s="9" t="inlineStr">
        <is>
          <t>Impact After Treatment</t>
        </is>
      </c>
      <c r="T1" s="9" t="inlineStr">
        <is>
          <t>GDPR</t>
        </is>
      </c>
      <c r="U1" s="9" t="inlineStr">
        <is>
          <t>ISO 27001</t>
        </is>
      </c>
      <c r="V1" s="9" t="inlineStr">
        <is>
          <t>ISO 27701</t>
        </is>
      </c>
      <c r="W1" s="9" t="inlineStr">
        <is>
          <t>ISO 42001</t>
        </is>
      </c>
      <c r="X1" s="9" t="inlineStr">
        <is>
          <t>KSA PDPL</t>
        </is>
      </c>
      <c r="Y1" s="9" t="inlineStr">
        <is>
          <t>SOC 2</t>
        </is>
      </c>
    </row>
    <row r="2" ht="28" customHeight="1">
      <c r="A2" s="5" t="inlineStr">
        <is>
          <t>RSK-001</t>
        </is>
      </c>
      <c r="B2" s="6" t="inlineStr">
        <is>
          <t>Information Technology</t>
        </is>
      </c>
      <c r="C2" s="5" t="inlineStr">
        <is>
          <t>2026-10-08</t>
        </is>
      </c>
      <c r="D2" s="5" t="inlineStr">
        <is>
          <t>Security</t>
        </is>
      </c>
      <c r="E2" s="5" t="inlineStr">
        <is>
          <t>Sensitive</t>
        </is>
      </c>
      <c r="F2" s="6" t="inlineStr">
        <is>
          <t>Phishing Attack</t>
        </is>
      </c>
      <c r="G2" s="6" t="inlineStr">
        <is>
          <t>Lack of security training, Weak password policy</t>
        </is>
      </c>
      <c r="H2" s="6" t="inlineStr">
        <is>
          <t>Risk of "Phishing Attack" because of "Lack of security training" and "Weak password policy"</t>
        </is>
      </c>
      <c r="I2" s="5" t="n">
        <v>1</v>
      </c>
      <c r="J2" s="5" t="n">
        <v>1</v>
      </c>
      <c r="K2" s="5" t="n">
        <v>1</v>
      </c>
      <c r="L2" s="5" t="n">
        <v>1</v>
      </c>
      <c r="M2" s="5" t="n">
        <v>2</v>
      </c>
      <c r="N2" s="5" t="n">
        <v>2</v>
      </c>
      <c r="O2" s="5" t="inlineStr">
        <is>
          <t>Low</t>
        </is>
      </c>
      <c r="P2" s="6" t="inlineStr">
        <is>
          <t>Standard spam filtering</t>
        </is>
      </c>
      <c r="Q2" s="5" t="inlineStr">
        <is>
          <t>30</t>
        </is>
      </c>
      <c r="R2" s="5" t="n">
        <v>1</v>
      </c>
      <c r="S2" s="5" t="n">
        <v>1</v>
      </c>
      <c r="T2" s="6" t="inlineStr">
        <is>
          <t>Article-5, Article-32</t>
        </is>
      </c>
      <c r="U2" s="6" t="inlineStr">
        <is>
          <t>A.5.1, A.8.2</t>
        </is>
      </c>
      <c r="V2" s="6" t="inlineStr">
        <is>
          <t>6.2</t>
        </is>
      </c>
      <c r="W2" s="6" t="inlineStr"/>
      <c r="X2" s="6" t="inlineStr">
        <is>
          <t>Article-19</t>
        </is>
      </c>
      <c r="Y2" s="6" t="inlineStr">
        <is>
          <t>CC6.1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6" customWidth="1" min="3" max="3"/>
  </cols>
  <sheetData>
    <row r="1">
      <c r="A1" s="10" t="inlineStr">
        <is>
          <t>Risk Types</t>
        </is>
      </c>
      <c r="B1" s="10" t="inlineStr">
        <is>
          <t>Asset Types</t>
        </is>
      </c>
      <c r="C1" s="10" t="inlineStr">
        <is>
          <t>1-4 Scale</t>
        </is>
      </c>
    </row>
    <row r="2">
      <c r="A2" s="3" t="inlineStr">
        <is>
          <t>Security</t>
        </is>
      </c>
      <c r="B2" s="3" t="inlineStr">
        <is>
          <t>Public</t>
        </is>
      </c>
      <c r="C2" s="3" t="inlineStr">
        <is>
          <t>1</t>
        </is>
      </c>
    </row>
    <row r="3">
      <c r="A3" s="3" t="inlineStr">
        <is>
          <t>Privacy</t>
        </is>
      </c>
      <c r="B3" s="3" t="inlineStr">
        <is>
          <t>Private</t>
        </is>
      </c>
      <c r="C3" s="3" t="inlineStr">
        <is>
          <t>2</t>
        </is>
      </c>
    </row>
    <row r="4">
      <c r="A4" s="3" t="inlineStr">
        <is>
          <t>Artificial Intelligence</t>
        </is>
      </c>
      <c r="B4" s="3" t="inlineStr">
        <is>
          <t>Sensitive</t>
        </is>
      </c>
      <c r="C4" s="3" t="inlineStr">
        <is>
          <t>3</t>
        </is>
      </c>
    </row>
    <row r="5">
      <c r="A5" s="3" t="inlineStr">
        <is>
          <t>BIMS</t>
        </is>
      </c>
      <c r="B5" s="3" t="inlineStr">
        <is>
          <t>Confidential</t>
        </is>
      </c>
      <c r="C5" s="3" t="inlineStr">
        <is>
          <t>4</t>
        </is>
      </c>
    </row>
    <row r="6">
      <c r="A6" s="3" t="inlineStr">
        <is>
          <t>ITSM</t>
        </is>
      </c>
    </row>
    <row r="7">
      <c r="A7" s="3" t="inlineStr">
        <is>
          <t>Resillience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45" customWidth="1" min="3" max="3"/>
    <col width="25" customWidth="1" min="4" max="4"/>
  </cols>
  <sheetData>
    <row r="1" ht="28" customHeight="1">
      <c r="A1" s="11" t="inlineStr">
        <is>
          <t>Framework</t>
        </is>
      </c>
      <c r="B1" s="11" t="inlineStr">
        <is>
          <t>Control Code</t>
        </is>
      </c>
      <c r="C1" s="11" t="inlineStr">
        <is>
          <t>Title / Clause Name</t>
        </is>
      </c>
      <c r="D1" s="11" t="inlineStr">
        <is>
          <t>Category / Section</t>
        </is>
      </c>
    </row>
    <row r="2" ht="20" customHeight="1">
      <c r="A2" s="12" t="inlineStr">
        <is>
          <t>ISO 27001</t>
        </is>
      </c>
      <c r="B2" s="12" t="inlineStr">
        <is>
          <t>4.1</t>
        </is>
      </c>
      <c r="C2" s="13" t="inlineStr">
        <is>
          <t>Understanding the organization and its context</t>
        </is>
      </c>
      <c r="D2" s="13" t="inlineStr">
        <is>
          <t>ISMS Core</t>
        </is>
      </c>
    </row>
    <row r="3" ht="20" customHeight="1">
      <c r="A3" s="12" t="inlineStr">
        <is>
          <t>ISO 27001</t>
        </is>
      </c>
      <c r="B3" s="12" t="inlineStr">
        <is>
          <t>4.2</t>
        </is>
      </c>
      <c r="C3" s="13" t="inlineStr">
        <is>
          <t>Understanding the needs and expectations of interested parties</t>
        </is>
      </c>
      <c r="D3" s="13" t="inlineStr">
        <is>
          <t>ISMS Core</t>
        </is>
      </c>
    </row>
    <row r="4" ht="20" customHeight="1">
      <c r="A4" s="12" t="inlineStr">
        <is>
          <t>ISO 27001</t>
        </is>
      </c>
      <c r="B4" s="12" t="inlineStr">
        <is>
          <t>4.3</t>
        </is>
      </c>
      <c r="C4" s="13" t="inlineStr">
        <is>
          <t>Determining the scope of the information security management system</t>
        </is>
      </c>
      <c r="D4" s="13" t="inlineStr">
        <is>
          <t>ISMS Core</t>
        </is>
      </c>
    </row>
    <row r="5" ht="20" customHeight="1">
      <c r="A5" s="12" t="inlineStr">
        <is>
          <t>ISO 27001</t>
        </is>
      </c>
      <c r="B5" s="12" t="inlineStr">
        <is>
          <t>4.4</t>
        </is>
      </c>
      <c r="C5" s="13" t="inlineStr">
        <is>
          <t>Information security management system</t>
        </is>
      </c>
      <c r="D5" s="13" t="inlineStr">
        <is>
          <t>ISMS Core</t>
        </is>
      </c>
    </row>
    <row r="6" ht="20" customHeight="1">
      <c r="A6" s="12" t="inlineStr">
        <is>
          <t>ISO 27001</t>
        </is>
      </c>
      <c r="B6" s="12" t="inlineStr">
        <is>
          <t>5.1</t>
        </is>
      </c>
      <c r="C6" s="13" t="inlineStr">
        <is>
          <t>Leadership and commitment</t>
        </is>
      </c>
      <c r="D6" s="13" t="inlineStr">
        <is>
          <t>ISMS Core</t>
        </is>
      </c>
    </row>
    <row r="7" ht="20" customHeight="1">
      <c r="A7" s="12" t="inlineStr">
        <is>
          <t>ISO 27001</t>
        </is>
      </c>
      <c r="B7" s="12" t="inlineStr">
        <is>
          <t>5.2</t>
        </is>
      </c>
      <c r="C7" s="13" t="inlineStr">
        <is>
          <t>Policy</t>
        </is>
      </c>
      <c r="D7" s="13" t="inlineStr">
        <is>
          <t>ISMS Core</t>
        </is>
      </c>
    </row>
    <row r="8" ht="20" customHeight="1">
      <c r="A8" s="12" t="inlineStr">
        <is>
          <t>ISO 27001</t>
        </is>
      </c>
      <c r="B8" s="12" t="inlineStr">
        <is>
          <t>5.3</t>
        </is>
      </c>
      <c r="C8" s="13" t="inlineStr">
        <is>
          <t>Organizational roles, responsibilities and authorities</t>
        </is>
      </c>
      <c r="D8" s="13" t="inlineStr">
        <is>
          <t>ISMS Core</t>
        </is>
      </c>
    </row>
    <row r="9" ht="20" customHeight="1">
      <c r="A9" s="12" t="inlineStr">
        <is>
          <t>ISO 27001</t>
        </is>
      </c>
      <c r="B9" s="12" t="inlineStr">
        <is>
          <t>6.1.1</t>
        </is>
      </c>
      <c r="C9" s="13" t="inlineStr">
        <is>
          <t>General</t>
        </is>
      </c>
      <c r="D9" s="13" t="inlineStr">
        <is>
          <t>ISMS Core</t>
        </is>
      </c>
    </row>
    <row r="10" ht="20" customHeight="1">
      <c r="A10" s="12" t="inlineStr">
        <is>
          <t>ISO 27001</t>
        </is>
      </c>
      <c r="B10" s="12" t="inlineStr">
        <is>
          <t>6.1.2</t>
        </is>
      </c>
      <c r="C10" s="13" t="inlineStr">
        <is>
          <t>Information security risk assessment</t>
        </is>
      </c>
      <c r="D10" s="13" t="inlineStr">
        <is>
          <t>ISMS Core</t>
        </is>
      </c>
    </row>
    <row r="11" ht="20" customHeight="1">
      <c r="A11" s="12" t="inlineStr">
        <is>
          <t>ISO 27001</t>
        </is>
      </c>
      <c r="B11" s="12" t="inlineStr">
        <is>
          <t>6.1.3</t>
        </is>
      </c>
      <c r="C11" s="13" t="inlineStr">
        <is>
          <t>Information security risk treatment</t>
        </is>
      </c>
      <c r="D11" s="13" t="inlineStr">
        <is>
          <t>ISMS Core</t>
        </is>
      </c>
    </row>
    <row r="12" ht="20" customHeight="1">
      <c r="A12" s="12" t="inlineStr">
        <is>
          <t>ISO 27001</t>
        </is>
      </c>
      <c r="B12" s="12" t="inlineStr">
        <is>
          <t>6.2</t>
        </is>
      </c>
      <c r="C12" s="13" t="inlineStr">
        <is>
          <t>Information security objectives and planning to achieve them</t>
        </is>
      </c>
      <c r="D12" s="13" t="inlineStr">
        <is>
          <t>ISMS Core</t>
        </is>
      </c>
    </row>
    <row r="13" ht="20" customHeight="1">
      <c r="A13" s="12" t="inlineStr">
        <is>
          <t>ISO 27001</t>
        </is>
      </c>
      <c r="B13" s="12" t="inlineStr">
        <is>
          <t>6.3</t>
        </is>
      </c>
      <c r="C13" s="13" t="inlineStr">
        <is>
          <t>Planning of changes</t>
        </is>
      </c>
      <c r="D13" s="13" t="inlineStr">
        <is>
          <t>ISMS Core</t>
        </is>
      </c>
    </row>
    <row r="14" ht="20" customHeight="1">
      <c r="A14" s="12" t="inlineStr">
        <is>
          <t>ISO 27001</t>
        </is>
      </c>
      <c r="B14" s="12" t="inlineStr">
        <is>
          <t>7.1</t>
        </is>
      </c>
      <c r="C14" s="13" t="inlineStr">
        <is>
          <t>Resources</t>
        </is>
      </c>
      <c r="D14" s="13" t="inlineStr">
        <is>
          <t>ISMS Core</t>
        </is>
      </c>
    </row>
    <row r="15" ht="20" customHeight="1">
      <c r="A15" s="12" t="inlineStr">
        <is>
          <t>ISO 27001</t>
        </is>
      </c>
      <c r="B15" s="12" t="inlineStr">
        <is>
          <t>7.2</t>
        </is>
      </c>
      <c r="C15" s="13" t="inlineStr">
        <is>
          <t>Competence</t>
        </is>
      </c>
      <c r="D15" s="13" t="inlineStr">
        <is>
          <t>ISMS Core</t>
        </is>
      </c>
    </row>
    <row r="16" ht="20" customHeight="1">
      <c r="A16" s="12" t="inlineStr">
        <is>
          <t>ISO 27001</t>
        </is>
      </c>
      <c r="B16" s="12" t="inlineStr">
        <is>
          <t>7.3</t>
        </is>
      </c>
      <c r="C16" s="13" t="inlineStr">
        <is>
          <t>Awareness</t>
        </is>
      </c>
      <c r="D16" s="13" t="inlineStr">
        <is>
          <t>ISMS Core</t>
        </is>
      </c>
    </row>
    <row r="17" ht="20" customHeight="1">
      <c r="A17" s="12" t="inlineStr">
        <is>
          <t>ISO 27001</t>
        </is>
      </c>
      <c r="B17" s="12" t="inlineStr">
        <is>
          <t>7.4</t>
        </is>
      </c>
      <c r="C17" s="13" t="inlineStr">
        <is>
          <t>Communication</t>
        </is>
      </c>
      <c r="D17" s="13" t="inlineStr">
        <is>
          <t>ISMS Core</t>
        </is>
      </c>
    </row>
    <row r="18" ht="20" customHeight="1">
      <c r="A18" s="12" t="inlineStr">
        <is>
          <t>ISO 27001</t>
        </is>
      </c>
      <c r="B18" s="12" t="inlineStr">
        <is>
          <t>7.5.1</t>
        </is>
      </c>
      <c r="C18" s="13" t="inlineStr">
        <is>
          <t>Documented information - General</t>
        </is>
      </c>
      <c r="D18" s="13" t="inlineStr">
        <is>
          <t>ISMS Core</t>
        </is>
      </c>
    </row>
    <row r="19" ht="20" customHeight="1">
      <c r="A19" s="12" t="inlineStr">
        <is>
          <t>ISO 27001</t>
        </is>
      </c>
      <c r="B19" s="12" t="inlineStr">
        <is>
          <t>7.5.2</t>
        </is>
      </c>
      <c r="C19" s="13" t="inlineStr">
        <is>
          <t>Creating and updating documented information</t>
        </is>
      </c>
      <c r="D19" s="13" t="inlineStr">
        <is>
          <t>ISMS Core</t>
        </is>
      </c>
    </row>
    <row r="20" ht="20" customHeight="1">
      <c r="A20" s="12" t="inlineStr">
        <is>
          <t>ISO 27001</t>
        </is>
      </c>
      <c r="B20" s="12" t="inlineStr">
        <is>
          <t>7.5.3</t>
        </is>
      </c>
      <c r="C20" s="13" t="inlineStr">
        <is>
          <t>Control of documented information</t>
        </is>
      </c>
      <c r="D20" s="13" t="inlineStr">
        <is>
          <t>ISMS Core</t>
        </is>
      </c>
    </row>
    <row r="21" ht="20" customHeight="1">
      <c r="A21" s="12" t="inlineStr">
        <is>
          <t>ISO 27001</t>
        </is>
      </c>
      <c r="B21" s="12" t="inlineStr">
        <is>
          <t>8.1</t>
        </is>
      </c>
      <c r="C21" s="13" t="inlineStr">
        <is>
          <t>Operational planning and control</t>
        </is>
      </c>
      <c r="D21" s="13" t="inlineStr">
        <is>
          <t>ISMS Core</t>
        </is>
      </c>
    </row>
    <row r="22" ht="20" customHeight="1">
      <c r="A22" s="12" t="inlineStr">
        <is>
          <t>ISO 27001</t>
        </is>
      </c>
      <c r="B22" s="12" t="inlineStr">
        <is>
          <t>8.2</t>
        </is>
      </c>
      <c r="C22" s="13" t="inlineStr">
        <is>
          <t>Information security risk assessment</t>
        </is>
      </c>
      <c r="D22" s="13" t="inlineStr">
        <is>
          <t>ISMS Core</t>
        </is>
      </c>
    </row>
    <row r="23" ht="20" customHeight="1">
      <c r="A23" s="12" t="inlineStr">
        <is>
          <t>ISO 27001</t>
        </is>
      </c>
      <c r="B23" s="12" t="inlineStr">
        <is>
          <t>8.3</t>
        </is>
      </c>
      <c r="C23" s="13" t="inlineStr">
        <is>
          <t>Information security risk treatment</t>
        </is>
      </c>
      <c r="D23" s="13" t="inlineStr">
        <is>
          <t>ISMS Core</t>
        </is>
      </c>
    </row>
    <row r="24" ht="20" customHeight="1">
      <c r="A24" s="12" t="inlineStr">
        <is>
          <t>ISO 27001</t>
        </is>
      </c>
      <c r="B24" s="12" t="inlineStr">
        <is>
          <t>9.1</t>
        </is>
      </c>
      <c r="C24" s="13" t="inlineStr">
        <is>
          <t>Monitoring, measurement, analysis and evaluation</t>
        </is>
      </c>
      <c r="D24" s="13" t="inlineStr">
        <is>
          <t>ISMS Core</t>
        </is>
      </c>
    </row>
    <row r="25" ht="20" customHeight="1">
      <c r="A25" s="12" t="inlineStr">
        <is>
          <t>ISO 27001</t>
        </is>
      </c>
      <c r="B25" s="12" t="inlineStr">
        <is>
          <t>9.2.1</t>
        </is>
      </c>
      <c r="C25" s="13" t="inlineStr">
        <is>
          <t>Internal audit - General</t>
        </is>
      </c>
      <c r="D25" s="13" t="inlineStr">
        <is>
          <t>ISMS Core</t>
        </is>
      </c>
    </row>
    <row r="26" ht="20" customHeight="1">
      <c r="A26" s="12" t="inlineStr">
        <is>
          <t>ISO 27001</t>
        </is>
      </c>
      <c r="B26" s="12" t="inlineStr">
        <is>
          <t>9.2.2</t>
        </is>
      </c>
      <c r="C26" s="13" t="inlineStr">
        <is>
          <t>Internal audit programme</t>
        </is>
      </c>
      <c r="D26" s="13" t="inlineStr">
        <is>
          <t>ISMS Core</t>
        </is>
      </c>
    </row>
    <row r="27" ht="20" customHeight="1">
      <c r="A27" s="12" t="inlineStr">
        <is>
          <t>ISO 27001</t>
        </is>
      </c>
      <c r="B27" s="12" t="inlineStr">
        <is>
          <t>9.3.1</t>
        </is>
      </c>
      <c r="C27" s="13" t="inlineStr">
        <is>
          <t>Management review - General</t>
        </is>
      </c>
      <c r="D27" s="13" t="inlineStr">
        <is>
          <t>ISMS Core</t>
        </is>
      </c>
    </row>
    <row r="28" ht="20" customHeight="1">
      <c r="A28" s="12" t="inlineStr">
        <is>
          <t>ISO 27001</t>
        </is>
      </c>
      <c r="B28" s="12" t="inlineStr">
        <is>
          <t>9.3.2</t>
        </is>
      </c>
      <c r="C28" s="13" t="inlineStr">
        <is>
          <t>Management review inputs</t>
        </is>
      </c>
      <c r="D28" s="13" t="inlineStr">
        <is>
          <t>ISMS Core</t>
        </is>
      </c>
    </row>
    <row r="29" ht="20" customHeight="1">
      <c r="A29" s="12" t="inlineStr">
        <is>
          <t>ISO 27001</t>
        </is>
      </c>
      <c r="B29" s="12" t="inlineStr">
        <is>
          <t>9.3.3</t>
        </is>
      </c>
      <c r="C29" s="13" t="inlineStr">
        <is>
          <t>Management review results</t>
        </is>
      </c>
      <c r="D29" s="13" t="inlineStr">
        <is>
          <t>ISMS Core</t>
        </is>
      </c>
    </row>
    <row r="30" ht="20" customHeight="1">
      <c r="A30" s="12" t="inlineStr">
        <is>
          <t>ISO 27001</t>
        </is>
      </c>
      <c r="B30" s="12" t="inlineStr">
        <is>
          <t>10.1</t>
        </is>
      </c>
      <c r="C30" s="13" t="inlineStr">
        <is>
          <t>Continual improvement</t>
        </is>
      </c>
      <c r="D30" s="13" t="inlineStr">
        <is>
          <t>ISMS Core</t>
        </is>
      </c>
    </row>
    <row r="31" ht="20" customHeight="1">
      <c r="A31" s="12" t="inlineStr">
        <is>
          <t>ISO 27001</t>
        </is>
      </c>
      <c r="B31" s="12" t="inlineStr">
        <is>
          <t>10.2</t>
        </is>
      </c>
      <c r="C31" s="13" t="inlineStr">
        <is>
          <t>Nonconformity and corrective action</t>
        </is>
      </c>
      <c r="D31" s="13" t="inlineStr">
        <is>
          <t>ISMS Core</t>
        </is>
      </c>
    </row>
    <row r="32" ht="20" customHeight="1">
      <c r="A32" s="12" t="inlineStr">
        <is>
          <t>ISO 27001</t>
        </is>
      </c>
      <c r="B32" s="12" t="inlineStr">
        <is>
          <t>A.5.1</t>
        </is>
      </c>
      <c r="C32" s="13" t="inlineStr">
        <is>
          <t>Policies for information security</t>
        </is>
      </c>
      <c r="D32" s="13" t="inlineStr">
        <is>
          <t>Annex A Controls</t>
        </is>
      </c>
    </row>
    <row r="33" ht="20" customHeight="1">
      <c r="A33" s="12" t="inlineStr">
        <is>
          <t>ISO 27001</t>
        </is>
      </c>
      <c r="B33" s="12" t="inlineStr">
        <is>
          <t>A.5.2</t>
        </is>
      </c>
      <c r="C33" s="13" t="inlineStr">
        <is>
          <t>Information security roles and responsibilities</t>
        </is>
      </c>
      <c r="D33" s="13" t="inlineStr">
        <is>
          <t>Annex A Controls</t>
        </is>
      </c>
    </row>
    <row r="34" ht="20" customHeight="1">
      <c r="A34" s="12" t="inlineStr">
        <is>
          <t>ISO 27001</t>
        </is>
      </c>
      <c r="B34" s="12" t="inlineStr">
        <is>
          <t>A.5.3</t>
        </is>
      </c>
      <c r="C34" s="13" t="inlineStr">
        <is>
          <t>Segregation of duties</t>
        </is>
      </c>
      <c r="D34" s="13" t="inlineStr">
        <is>
          <t>Annex A Controls</t>
        </is>
      </c>
    </row>
    <row r="35" ht="20" customHeight="1">
      <c r="A35" s="12" t="inlineStr">
        <is>
          <t>ISO 27001</t>
        </is>
      </c>
      <c r="B35" s="12" t="inlineStr">
        <is>
          <t>A.5.4</t>
        </is>
      </c>
      <c r="C35" s="13" t="inlineStr">
        <is>
          <t>Management responsibilities</t>
        </is>
      </c>
      <c r="D35" s="13" t="inlineStr">
        <is>
          <t>Annex A Controls</t>
        </is>
      </c>
    </row>
    <row r="36" ht="20" customHeight="1">
      <c r="A36" s="12" t="inlineStr">
        <is>
          <t>ISO 27001</t>
        </is>
      </c>
      <c r="B36" s="12" t="inlineStr">
        <is>
          <t>A.5.5</t>
        </is>
      </c>
      <c r="C36" s="13" t="inlineStr">
        <is>
          <t>Contact with authorities</t>
        </is>
      </c>
      <c r="D36" s="13" t="inlineStr">
        <is>
          <t>Annex A Controls</t>
        </is>
      </c>
    </row>
    <row r="37" ht="20" customHeight="1">
      <c r="A37" s="12" t="inlineStr">
        <is>
          <t>ISO 27001</t>
        </is>
      </c>
      <c r="B37" s="12" t="inlineStr">
        <is>
          <t>A.5.6</t>
        </is>
      </c>
      <c r="C37" s="13" t="inlineStr">
        <is>
          <t>Contact with special interest groups</t>
        </is>
      </c>
      <c r="D37" s="13" t="inlineStr">
        <is>
          <t>Annex A Controls</t>
        </is>
      </c>
    </row>
    <row r="38" ht="20" customHeight="1">
      <c r="A38" s="12" t="inlineStr">
        <is>
          <t>ISO 27001</t>
        </is>
      </c>
      <c r="B38" s="12" t="inlineStr">
        <is>
          <t>A.5.7</t>
        </is>
      </c>
      <c r="C38" s="13" t="inlineStr">
        <is>
          <t>Threat intelligence</t>
        </is>
      </c>
      <c r="D38" s="13" t="inlineStr">
        <is>
          <t>Annex A Controls</t>
        </is>
      </c>
    </row>
    <row r="39" ht="20" customHeight="1">
      <c r="A39" s="12" t="inlineStr">
        <is>
          <t>ISO 27001</t>
        </is>
      </c>
      <c r="B39" s="12" t="inlineStr">
        <is>
          <t>A.5.8</t>
        </is>
      </c>
      <c r="C39" s="13" t="inlineStr">
        <is>
          <t>Information security in project management</t>
        </is>
      </c>
      <c r="D39" s="13" t="inlineStr">
        <is>
          <t>Annex A Controls</t>
        </is>
      </c>
    </row>
    <row r="40" ht="20" customHeight="1">
      <c r="A40" s="12" t="inlineStr">
        <is>
          <t>ISO 27001</t>
        </is>
      </c>
      <c r="B40" s="12" t="inlineStr">
        <is>
          <t>A.5.9</t>
        </is>
      </c>
      <c r="C40" s="13" t="inlineStr">
        <is>
          <t>Inventory of information and other associated assets</t>
        </is>
      </c>
      <c r="D40" s="13" t="inlineStr">
        <is>
          <t>Annex A Controls</t>
        </is>
      </c>
    </row>
    <row r="41" ht="20" customHeight="1">
      <c r="A41" s="12" t="inlineStr">
        <is>
          <t>ISO 27001</t>
        </is>
      </c>
      <c r="B41" s="12" t="inlineStr">
        <is>
          <t>A.5.10</t>
        </is>
      </c>
      <c r="C41" s="13" t="inlineStr">
        <is>
          <t>Acceptable use of information and other associated assets</t>
        </is>
      </c>
      <c r="D41" s="13" t="inlineStr">
        <is>
          <t>Annex A Controls</t>
        </is>
      </c>
    </row>
    <row r="42" ht="20" customHeight="1">
      <c r="A42" s="12" t="inlineStr">
        <is>
          <t>ISO 27001</t>
        </is>
      </c>
      <c r="B42" s="12" t="inlineStr">
        <is>
          <t>A.5.11</t>
        </is>
      </c>
      <c r="C42" s="13" t="inlineStr">
        <is>
          <t>Return of assets</t>
        </is>
      </c>
      <c r="D42" s="13" t="inlineStr">
        <is>
          <t>Annex A Controls</t>
        </is>
      </c>
    </row>
    <row r="43" ht="20" customHeight="1">
      <c r="A43" s="12" t="inlineStr">
        <is>
          <t>ISO 27001</t>
        </is>
      </c>
      <c r="B43" s="12" t="inlineStr">
        <is>
          <t>A.5.12</t>
        </is>
      </c>
      <c r="C43" s="13" t="inlineStr">
        <is>
          <t>Classification of information</t>
        </is>
      </c>
      <c r="D43" s="13" t="inlineStr">
        <is>
          <t>Annex A Controls</t>
        </is>
      </c>
    </row>
    <row r="44" ht="20" customHeight="1">
      <c r="A44" s="12" t="inlineStr">
        <is>
          <t>ISO 27001</t>
        </is>
      </c>
      <c r="B44" s="12" t="inlineStr">
        <is>
          <t>A.5.13</t>
        </is>
      </c>
      <c r="C44" s="13" t="inlineStr">
        <is>
          <t>Labelling of information</t>
        </is>
      </c>
      <c r="D44" s="13" t="inlineStr">
        <is>
          <t>Annex A Controls</t>
        </is>
      </c>
    </row>
    <row r="45" ht="20" customHeight="1">
      <c r="A45" s="12" t="inlineStr">
        <is>
          <t>ISO 27001</t>
        </is>
      </c>
      <c r="B45" s="12" t="inlineStr">
        <is>
          <t>A.5.14</t>
        </is>
      </c>
      <c r="C45" s="13" t="inlineStr">
        <is>
          <t>Information transfer</t>
        </is>
      </c>
      <c r="D45" s="13" t="inlineStr">
        <is>
          <t>Annex A Controls</t>
        </is>
      </c>
    </row>
    <row r="46" ht="20" customHeight="1">
      <c r="A46" s="12" t="inlineStr">
        <is>
          <t>ISO 27001</t>
        </is>
      </c>
      <c r="B46" s="12" t="inlineStr">
        <is>
          <t>A.5.15</t>
        </is>
      </c>
      <c r="C46" s="13" t="inlineStr">
        <is>
          <t>Access control</t>
        </is>
      </c>
      <c r="D46" s="13" t="inlineStr">
        <is>
          <t>Annex A Controls</t>
        </is>
      </c>
    </row>
    <row r="47" ht="20" customHeight="1">
      <c r="A47" s="12" t="inlineStr">
        <is>
          <t>ISO 27001</t>
        </is>
      </c>
      <c r="B47" s="12" t="inlineStr">
        <is>
          <t>A.5.16</t>
        </is>
      </c>
      <c r="C47" s="13" t="inlineStr">
        <is>
          <t>Identity management</t>
        </is>
      </c>
      <c r="D47" s="13" t="inlineStr">
        <is>
          <t>Annex A Controls</t>
        </is>
      </c>
    </row>
    <row r="48" ht="20" customHeight="1">
      <c r="A48" s="12" t="inlineStr">
        <is>
          <t>ISO 27001</t>
        </is>
      </c>
      <c r="B48" s="12" t="inlineStr">
        <is>
          <t>A.5.17</t>
        </is>
      </c>
      <c r="C48" s="13" t="inlineStr">
        <is>
          <t>Authentication information</t>
        </is>
      </c>
      <c r="D48" s="13" t="inlineStr">
        <is>
          <t>Annex A Controls</t>
        </is>
      </c>
    </row>
    <row r="49" ht="20" customHeight="1">
      <c r="A49" s="12" t="inlineStr">
        <is>
          <t>ISO 27001</t>
        </is>
      </c>
      <c r="B49" s="12" t="inlineStr">
        <is>
          <t>A.5.18</t>
        </is>
      </c>
      <c r="C49" s="13" t="inlineStr">
        <is>
          <t>Access rights</t>
        </is>
      </c>
      <c r="D49" s="13" t="inlineStr">
        <is>
          <t>Annex A Controls</t>
        </is>
      </c>
    </row>
    <row r="50" ht="20" customHeight="1">
      <c r="A50" s="12" t="inlineStr">
        <is>
          <t>ISO 27001</t>
        </is>
      </c>
      <c r="B50" s="12" t="inlineStr">
        <is>
          <t>A.5.19</t>
        </is>
      </c>
      <c r="C50" s="13" t="inlineStr">
        <is>
          <t>Information security in supplier relationships</t>
        </is>
      </c>
      <c r="D50" s="13" t="inlineStr">
        <is>
          <t>Annex A Controls</t>
        </is>
      </c>
    </row>
    <row r="51" ht="20" customHeight="1">
      <c r="A51" s="12" t="inlineStr">
        <is>
          <t>ISO 27001</t>
        </is>
      </c>
      <c r="B51" s="12" t="inlineStr">
        <is>
          <t>A.5.20</t>
        </is>
      </c>
      <c r="C51" s="13" t="inlineStr">
        <is>
          <t>Addressing information security within supplier agreements</t>
        </is>
      </c>
      <c r="D51" s="13" t="inlineStr">
        <is>
          <t>Annex A Controls</t>
        </is>
      </c>
    </row>
    <row r="52" ht="20" customHeight="1">
      <c r="A52" s="12" t="inlineStr">
        <is>
          <t>ISO 27001</t>
        </is>
      </c>
      <c r="B52" s="12" t="inlineStr">
        <is>
          <t>A.5.21</t>
        </is>
      </c>
      <c r="C52" s="13" t="inlineStr">
        <is>
          <t>Managing information security in the information and communication technology (ICT) supply chain</t>
        </is>
      </c>
      <c r="D52" s="13" t="inlineStr">
        <is>
          <t>Annex A Controls</t>
        </is>
      </c>
    </row>
    <row r="53" ht="20" customHeight="1">
      <c r="A53" s="12" t="inlineStr">
        <is>
          <t>ISO 27001</t>
        </is>
      </c>
      <c r="B53" s="12" t="inlineStr">
        <is>
          <t>A.5.22</t>
        </is>
      </c>
      <c r="C53" s="13" t="inlineStr">
        <is>
          <t>Monitoring, review and change management of supplier services</t>
        </is>
      </c>
      <c r="D53" s="13" t="inlineStr">
        <is>
          <t>Annex A Controls</t>
        </is>
      </c>
    </row>
    <row r="54" ht="20" customHeight="1">
      <c r="A54" s="12" t="inlineStr">
        <is>
          <t>ISO 27001</t>
        </is>
      </c>
      <c r="B54" s="12" t="inlineStr">
        <is>
          <t>A.5.23</t>
        </is>
      </c>
      <c r="C54" s="13" t="inlineStr">
        <is>
          <t>Information security for use of cloud services</t>
        </is>
      </c>
      <c r="D54" s="13" t="inlineStr">
        <is>
          <t>Annex A Controls</t>
        </is>
      </c>
    </row>
    <row r="55" ht="20" customHeight="1">
      <c r="A55" s="12" t="inlineStr">
        <is>
          <t>ISO 27001</t>
        </is>
      </c>
      <c r="B55" s="12" t="inlineStr">
        <is>
          <t>A.5.24</t>
        </is>
      </c>
      <c r="C55" s="13" t="inlineStr">
        <is>
          <t>Information security incident management planning and preparation</t>
        </is>
      </c>
      <c r="D55" s="13" t="inlineStr">
        <is>
          <t>Annex A Controls</t>
        </is>
      </c>
    </row>
    <row r="56" ht="20" customHeight="1">
      <c r="A56" s="12" t="inlineStr">
        <is>
          <t>ISO 27001</t>
        </is>
      </c>
      <c r="B56" s="12" t="inlineStr">
        <is>
          <t>A.5.25</t>
        </is>
      </c>
      <c r="C56" s="13" t="inlineStr">
        <is>
          <t>Assessment and decision on information security events</t>
        </is>
      </c>
      <c r="D56" s="13" t="inlineStr">
        <is>
          <t>Annex A Controls</t>
        </is>
      </c>
    </row>
    <row r="57" ht="20" customHeight="1">
      <c r="A57" s="12" t="inlineStr">
        <is>
          <t>ISO 27001</t>
        </is>
      </c>
      <c r="B57" s="12" t="inlineStr">
        <is>
          <t>A.5.26</t>
        </is>
      </c>
      <c r="C57" s="13" t="inlineStr">
        <is>
          <t>Response to information security incidents</t>
        </is>
      </c>
      <c r="D57" s="13" t="inlineStr">
        <is>
          <t>Annex A Controls</t>
        </is>
      </c>
    </row>
    <row r="58" ht="20" customHeight="1">
      <c r="A58" s="12" t="inlineStr">
        <is>
          <t>ISO 27001</t>
        </is>
      </c>
      <c r="B58" s="12" t="inlineStr">
        <is>
          <t>A.5.27</t>
        </is>
      </c>
      <c r="C58" s="13" t="inlineStr">
        <is>
          <t>Learning from information security incidents</t>
        </is>
      </c>
      <c r="D58" s="13" t="inlineStr">
        <is>
          <t>Annex A Controls</t>
        </is>
      </c>
    </row>
    <row r="59" ht="20" customHeight="1">
      <c r="A59" s="12" t="inlineStr">
        <is>
          <t>ISO 27001</t>
        </is>
      </c>
      <c r="B59" s="12" t="inlineStr">
        <is>
          <t>A.5.28</t>
        </is>
      </c>
      <c r="C59" s="13" t="inlineStr">
        <is>
          <t>Collection of evidence</t>
        </is>
      </c>
      <c r="D59" s="13" t="inlineStr">
        <is>
          <t>Annex A Controls</t>
        </is>
      </c>
    </row>
    <row r="60" ht="20" customHeight="1">
      <c r="A60" s="12" t="inlineStr">
        <is>
          <t>ISO 27001</t>
        </is>
      </c>
      <c r="B60" s="12" t="inlineStr">
        <is>
          <t>A.5.29</t>
        </is>
      </c>
      <c r="C60" s="13" t="inlineStr">
        <is>
          <t>Information security during disruption</t>
        </is>
      </c>
      <c r="D60" s="13" t="inlineStr">
        <is>
          <t>Annex A Controls</t>
        </is>
      </c>
    </row>
    <row r="61" ht="20" customHeight="1">
      <c r="A61" s="12" t="inlineStr">
        <is>
          <t>ISO 27001</t>
        </is>
      </c>
      <c r="B61" s="12" t="inlineStr">
        <is>
          <t>A.5.30</t>
        </is>
      </c>
      <c r="C61" s="13" t="inlineStr">
        <is>
          <t>ICT readiness for business continuity</t>
        </is>
      </c>
      <c r="D61" s="13" t="inlineStr">
        <is>
          <t>Annex A Controls</t>
        </is>
      </c>
    </row>
    <row r="62" ht="20" customHeight="1">
      <c r="A62" s="12" t="inlineStr">
        <is>
          <t>ISO 27001</t>
        </is>
      </c>
      <c r="B62" s="12" t="inlineStr">
        <is>
          <t>A.5.31</t>
        </is>
      </c>
      <c r="C62" s="13" t="inlineStr">
        <is>
          <t>Legal, statutory, regulatory and contractual requirements</t>
        </is>
      </c>
      <c r="D62" s="13" t="inlineStr">
        <is>
          <t>Annex A Controls</t>
        </is>
      </c>
    </row>
    <row r="63" ht="20" customHeight="1">
      <c r="A63" s="12" t="inlineStr">
        <is>
          <t>ISO 27001</t>
        </is>
      </c>
      <c r="B63" s="12" t="inlineStr">
        <is>
          <t>A.5.32</t>
        </is>
      </c>
      <c r="C63" s="13" t="inlineStr">
        <is>
          <t>Intellectual property rights</t>
        </is>
      </c>
      <c r="D63" s="13" t="inlineStr">
        <is>
          <t>Annex A Controls</t>
        </is>
      </c>
    </row>
    <row r="64" ht="20" customHeight="1">
      <c r="A64" s="12" t="inlineStr">
        <is>
          <t>ISO 27001</t>
        </is>
      </c>
      <c r="B64" s="12" t="inlineStr">
        <is>
          <t>A.5.33</t>
        </is>
      </c>
      <c r="C64" s="13" t="inlineStr">
        <is>
          <t>Protection of records</t>
        </is>
      </c>
      <c r="D64" s="13" t="inlineStr">
        <is>
          <t>Annex A Controls</t>
        </is>
      </c>
    </row>
    <row r="65" ht="20" customHeight="1">
      <c r="A65" s="12" t="inlineStr">
        <is>
          <t>ISO 27001</t>
        </is>
      </c>
      <c r="B65" s="12" t="inlineStr">
        <is>
          <t>A.5.34</t>
        </is>
      </c>
      <c r="C65" s="13" t="inlineStr">
        <is>
          <t>Privacy and protection of personal identifiable information (PII)</t>
        </is>
      </c>
      <c r="D65" s="13" t="inlineStr">
        <is>
          <t>Annex A Controls</t>
        </is>
      </c>
    </row>
    <row r="66" ht="20" customHeight="1">
      <c r="A66" s="12" t="inlineStr">
        <is>
          <t>ISO 27001</t>
        </is>
      </c>
      <c r="B66" s="12" t="inlineStr">
        <is>
          <t>A.5.35</t>
        </is>
      </c>
      <c r="C66" s="13" t="inlineStr">
        <is>
          <t>Independent review of information security</t>
        </is>
      </c>
      <c r="D66" s="13" t="inlineStr">
        <is>
          <t>Annex A Controls</t>
        </is>
      </c>
    </row>
    <row r="67" ht="20" customHeight="1">
      <c r="A67" s="12" t="inlineStr">
        <is>
          <t>ISO 27001</t>
        </is>
      </c>
      <c r="B67" s="12" t="inlineStr">
        <is>
          <t>A.5.36</t>
        </is>
      </c>
      <c r="C67" s="13" t="inlineStr">
        <is>
          <t>Compliance with policies, rules and standards for information security</t>
        </is>
      </c>
      <c r="D67" s="13" t="inlineStr">
        <is>
          <t>Annex A Controls</t>
        </is>
      </c>
    </row>
    <row r="68" ht="20" customHeight="1">
      <c r="A68" s="12" t="inlineStr">
        <is>
          <t>ISO 27001</t>
        </is>
      </c>
      <c r="B68" s="12" t="inlineStr">
        <is>
          <t>A.5.37</t>
        </is>
      </c>
      <c r="C68" s="13" t="inlineStr">
        <is>
          <t>Documented operating procedures</t>
        </is>
      </c>
      <c r="D68" s="13" t="inlineStr">
        <is>
          <t>Annex A Controls</t>
        </is>
      </c>
    </row>
    <row r="69" ht="20" customHeight="1">
      <c r="A69" s="12" t="inlineStr">
        <is>
          <t>ISO 27001</t>
        </is>
      </c>
      <c r="B69" s="12" t="inlineStr">
        <is>
          <t>A.6.1</t>
        </is>
      </c>
      <c r="C69" s="13" t="inlineStr">
        <is>
          <t>Screening</t>
        </is>
      </c>
      <c r="D69" s="13" t="inlineStr">
        <is>
          <t>Annex A Controls</t>
        </is>
      </c>
    </row>
    <row r="70" ht="20" customHeight="1">
      <c r="A70" s="12" t="inlineStr">
        <is>
          <t>ISO 27001</t>
        </is>
      </c>
      <c r="B70" s="12" t="inlineStr">
        <is>
          <t>A.6.2</t>
        </is>
      </c>
      <c r="C70" s="13" t="inlineStr">
        <is>
          <t>Terms and conditions of employment</t>
        </is>
      </c>
      <c r="D70" s="13" t="inlineStr">
        <is>
          <t>Annex A Controls</t>
        </is>
      </c>
    </row>
    <row r="71" ht="20" customHeight="1">
      <c r="A71" s="12" t="inlineStr">
        <is>
          <t>ISO 27001</t>
        </is>
      </c>
      <c r="B71" s="12" t="inlineStr">
        <is>
          <t>A.6.3</t>
        </is>
      </c>
      <c r="C71" s="13" t="inlineStr">
        <is>
          <t>Information security awareness, education and training</t>
        </is>
      </c>
      <c r="D71" s="13" t="inlineStr">
        <is>
          <t>Annex A Controls</t>
        </is>
      </c>
    </row>
    <row r="72" ht="20" customHeight="1">
      <c r="A72" s="12" t="inlineStr">
        <is>
          <t>ISO 27001</t>
        </is>
      </c>
      <c r="B72" s="12" t="inlineStr">
        <is>
          <t>A.6.4</t>
        </is>
      </c>
      <c r="C72" s="13" t="inlineStr">
        <is>
          <t>Disciplinary process</t>
        </is>
      </c>
      <c r="D72" s="13" t="inlineStr">
        <is>
          <t>Annex A Controls</t>
        </is>
      </c>
    </row>
    <row r="73" ht="20" customHeight="1">
      <c r="A73" s="12" t="inlineStr">
        <is>
          <t>ISO 27001</t>
        </is>
      </c>
      <c r="B73" s="12" t="inlineStr">
        <is>
          <t>A.6.5</t>
        </is>
      </c>
      <c r="C73" s="13" t="inlineStr">
        <is>
          <t>Responsibilities after termination or change of employment</t>
        </is>
      </c>
      <c r="D73" s="13" t="inlineStr">
        <is>
          <t>Annex A Controls</t>
        </is>
      </c>
    </row>
    <row r="74" ht="20" customHeight="1">
      <c r="A74" s="12" t="inlineStr">
        <is>
          <t>ISO 27001</t>
        </is>
      </c>
      <c r="B74" s="12" t="inlineStr">
        <is>
          <t>A.6.6</t>
        </is>
      </c>
      <c r="C74" s="13" t="inlineStr">
        <is>
          <t>Confidentiality or non-disclosure agreements</t>
        </is>
      </c>
      <c r="D74" s="13" t="inlineStr">
        <is>
          <t>Annex A Controls</t>
        </is>
      </c>
    </row>
    <row r="75" ht="20" customHeight="1">
      <c r="A75" s="12" t="inlineStr">
        <is>
          <t>ISO 27001</t>
        </is>
      </c>
      <c r="B75" s="12" t="inlineStr">
        <is>
          <t>A.6.7</t>
        </is>
      </c>
      <c r="C75" s="13" t="inlineStr">
        <is>
          <t>Remote working</t>
        </is>
      </c>
      <c r="D75" s="13" t="inlineStr">
        <is>
          <t>Annex A Controls</t>
        </is>
      </c>
    </row>
    <row r="76" ht="20" customHeight="1">
      <c r="A76" s="12" t="inlineStr">
        <is>
          <t>ISO 27001</t>
        </is>
      </c>
      <c r="B76" s="12" t="inlineStr">
        <is>
          <t>A.6.8</t>
        </is>
      </c>
      <c r="C76" s="13" t="inlineStr">
        <is>
          <t>Information security event reporting</t>
        </is>
      </c>
      <c r="D76" s="13" t="inlineStr">
        <is>
          <t>Annex A Controls</t>
        </is>
      </c>
    </row>
    <row r="77" ht="20" customHeight="1">
      <c r="A77" s="12" t="inlineStr">
        <is>
          <t>ISO 27001</t>
        </is>
      </c>
      <c r="B77" s="12" t="inlineStr">
        <is>
          <t>A.7.1</t>
        </is>
      </c>
      <c r="C77" s="13" t="inlineStr">
        <is>
          <t>Physical security perimeters</t>
        </is>
      </c>
      <c r="D77" s="13" t="inlineStr">
        <is>
          <t>Annex A Controls</t>
        </is>
      </c>
    </row>
    <row r="78" ht="20" customHeight="1">
      <c r="A78" s="12" t="inlineStr">
        <is>
          <t>ISO 27001</t>
        </is>
      </c>
      <c r="B78" s="12" t="inlineStr">
        <is>
          <t>A.7.2</t>
        </is>
      </c>
      <c r="C78" s="13" t="inlineStr">
        <is>
          <t>Physical entry</t>
        </is>
      </c>
      <c r="D78" s="13" t="inlineStr">
        <is>
          <t>Annex A Controls</t>
        </is>
      </c>
    </row>
    <row r="79" ht="20" customHeight="1">
      <c r="A79" s="12" t="inlineStr">
        <is>
          <t>ISO 27001</t>
        </is>
      </c>
      <c r="B79" s="12" t="inlineStr">
        <is>
          <t>A.7.3</t>
        </is>
      </c>
      <c r="C79" s="13" t="inlineStr">
        <is>
          <t>Securing offices, rooms and facilities</t>
        </is>
      </c>
      <c r="D79" s="13" t="inlineStr">
        <is>
          <t>Annex A Controls</t>
        </is>
      </c>
    </row>
    <row r="80" ht="20" customHeight="1">
      <c r="A80" s="12" t="inlineStr">
        <is>
          <t>ISO 27001</t>
        </is>
      </c>
      <c r="B80" s="12" t="inlineStr">
        <is>
          <t>A.7.4</t>
        </is>
      </c>
      <c r="C80" s="13" t="inlineStr">
        <is>
          <t>Physical security monitoring</t>
        </is>
      </c>
      <c r="D80" s="13" t="inlineStr">
        <is>
          <t>Annex A Controls</t>
        </is>
      </c>
    </row>
    <row r="81" ht="20" customHeight="1">
      <c r="A81" s="12" t="inlineStr">
        <is>
          <t>ISO 27001</t>
        </is>
      </c>
      <c r="B81" s="12" t="inlineStr">
        <is>
          <t>A.7.5</t>
        </is>
      </c>
      <c r="C81" s="13" t="inlineStr">
        <is>
          <t>Protecting against physical and environmental threats</t>
        </is>
      </c>
      <c r="D81" s="13" t="inlineStr">
        <is>
          <t>Annex A Controls</t>
        </is>
      </c>
    </row>
    <row r="82" ht="20" customHeight="1">
      <c r="A82" s="12" t="inlineStr">
        <is>
          <t>ISO 27001</t>
        </is>
      </c>
      <c r="B82" s="12" t="inlineStr">
        <is>
          <t>A.7.6</t>
        </is>
      </c>
      <c r="C82" s="13" t="inlineStr">
        <is>
          <t>Working in secure areas</t>
        </is>
      </c>
      <c r="D82" s="13" t="inlineStr">
        <is>
          <t>Annex A Controls</t>
        </is>
      </c>
    </row>
    <row r="83" ht="20" customHeight="1">
      <c r="A83" s="12" t="inlineStr">
        <is>
          <t>ISO 27001</t>
        </is>
      </c>
      <c r="B83" s="12" t="inlineStr">
        <is>
          <t>A.7.7</t>
        </is>
      </c>
      <c r="C83" s="13" t="inlineStr">
        <is>
          <t>Clear desk and clear screen</t>
        </is>
      </c>
      <c r="D83" s="13" t="inlineStr">
        <is>
          <t>Annex A Controls</t>
        </is>
      </c>
    </row>
    <row r="84" ht="20" customHeight="1">
      <c r="A84" s="12" t="inlineStr">
        <is>
          <t>ISO 27001</t>
        </is>
      </c>
      <c r="B84" s="12" t="inlineStr">
        <is>
          <t>A.7.8</t>
        </is>
      </c>
      <c r="C84" s="13" t="inlineStr">
        <is>
          <t>Equipment siting and protection</t>
        </is>
      </c>
      <c r="D84" s="13" t="inlineStr">
        <is>
          <t>Annex A Controls</t>
        </is>
      </c>
    </row>
    <row r="85" ht="20" customHeight="1">
      <c r="A85" s="12" t="inlineStr">
        <is>
          <t>ISO 27001</t>
        </is>
      </c>
      <c r="B85" s="12" t="inlineStr">
        <is>
          <t>A.7.9</t>
        </is>
      </c>
      <c r="C85" s="13" t="inlineStr">
        <is>
          <t>Security of assets off-premises</t>
        </is>
      </c>
      <c r="D85" s="13" t="inlineStr">
        <is>
          <t>Annex A Controls</t>
        </is>
      </c>
    </row>
    <row r="86" ht="20" customHeight="1">
      <c r="A86" s="12" t="inlineStr">
        <is>
          <t>ISO 27001</t>
        </is>
      </c>
      <c r="B86" s="12" t="inlineStr">
        <is>
          <t>A.7.10</t>
        </is>
      </c>
      <c r="C86" s="13" t="inlineStr">
        <is>
          <t>Storage media</t>
        </is>
      </c>
      <c r="D86" s="13" t="inlineStr">
        <is>
          <t>Annex A Controls</t>
        </is>
      </c>
    </row>
    <row r="87" ht="20" customHeight="1">
      <c r="A87" s="12" t="inlineStr">
        <is>
          <t>ISO 27001</t>
        </is>
      </c>
      <c r="B87" s="12" t="inlineStr">
        <is>
          <t>A.7.11</t>
        </is>
      </c>
      <c r="C87" s="13" t="inlineStr">
        <is>
          <t>Supporting utilities</t>
        </is>
      </c>
      <c r="D87" s="13" t="inlineStr">
        <is>
          <t>Annex A Controls</t>
        </is>
      </c>
    </row>
    <row r="88" ht="20" customHeight="1">
      <c r="A88" s="12" t="inlineStr">
        <is>
          <t>ISO 27001</t>
        </is>
      </c>
      <c r="B88" s="12" t="inlineStr">
        <is>
          <t>A.7.12</t>
        </is>
      </c>
      <c r="C88" s="13" t="inlineStr">
        <is>
          <t>Cabling security</t>
        </is>
      </c>
      <c r="D88" s="13" t="inlineStr">
        <is>
          <t>Annex A Controls</t>
        </is>
      </c>
    </row>
    <row r="89" ht="20" customHeight="1">
      <c r="A89" s="12" t="inlineStr">
        <is>
          <t>ISO 27001</t>
        </is>
      </c>
      <c r="B89" s="12" t="inlineStr">
        <is>
          <t>A.7.13</t>
        </is>
      </c>
      <c r="C89" s="13" t="inlineStr">
        <is>
          <t>Equipment maintenance</t>
        </is>
      </c>
      <c r="D89" s="13" t="inlineStr">
        <is>
          <t>Annex A Controls</t>
        </is>
      </c>
    </row>
    <row r="90" ht="20" customHeight="1">
      <c r="A90" s="12" t="inlineStr">
        <is>
          <t>ISO 27001</t>
        </is>
      </c>
      <c r="B90" s="12" t="inlineStr">
        <is>
          <t>A.7.14</t>
        </is>
      </c>
      <c r="C90" s="13" t="inlineStr">
        <is>
          <t>Secure disposal or re-use of equipment</t>
        </is>
      </c>
      <c r="D90" s="13" t="inlineStr">
        <is>
          <t>Annex A Controls</t>
        </is>
      </c>
    </row>
    <row r="91" ht="20" customHeight="1">
      <c r="A91" s="12" t="inlineStr">
        <is>
          <t>ISO 27001</t>
        </is>
      </c>
      <c r="B91" s="12" t="inlineStr">
        <is>
          <t>A.8.1</t>
        </is>
      </c>
      <c r="C91" s="13" t="inlineStr">
        <is>
          <t>User end point devices</t>
        </is>
      </c>
      <c r="D91" s="13" t="inlineStr">
        <is>
          <t>Annex A Controls</t>
        </is>
      </c>
    </row>
    <row r="92" ht="20" customHeight="1">
      <c r="A92" s="12" t="inlineStr">
        <is>
          <t>ISO 27001</t>
        </is>
      </c>
      <c r="B92" s="12" t="inlineStr">
        <is>
          <t>A.8.2</t>
        </is>
      </c>
      <c r="C92" s="13" t="inlineStr">
        <is>
          <t>Privileged access rights</t>
        </is>
      </c>
      <c r="D92" s="13" t="inlineStr">
        <is>
          <t>Annex A Controls</t>
        </is>
      </c>
    </row>
    <row r="93" ht="20" customHeight="1">
      <c r="A93" s="12" t="inlineStr">
        <is>
          <t>ISO 27001</t>
        </is>
      </c>
      <c r="B93" s="12" t="inlineStr">
        <is>
          <t>A.8.3</t>
        </is>
      </c>
      <c r="C93" s="13" t="inlineStr">
        <is>
          <t>Information access restriction</t>
        </is>
      </c>
      <c r="D93" s="13" t="inlineStr">
        <is>
          <t>Annex A Controls</t>
        </is>
      </c>
    </row>
    <row r="94" ht="20" customHeight="1">
      <c r="A94" s="12" t="inlineStr">
        <is>
          <t>ISO 27001</t>
        </is>
      </c>
      <c r="B94" s="12" t="inlineStr">
        <is>
          <t>A.8.4</t>
        </is>
      </c>
      <c r="C94" s="13" t="inlineStr">
        <is>
          <t>Access to source code</t>
        </is>
      </c>
      <c r="D94" s="13" t="inlineStr">
        <is>
          <t>Annex A Controls</t>
        </is>
      </c>
    </row>
    <row r="95" ht="20" customHeight="1">
      <c r="A95" s="12" t="inlineStr">
        <is>
          <t>ISO 27001</t>
        </is>
      </c>
      <c r="B95" s="12" t="inlineStr">
        <is>
          <t>A.8.5</t>
        </is>
      </c>
      <c r="C95" s="13" t="inlineStr">
        <is>
          <t>Secure authentication</t>
        </is>
      </c>
      <c r="D95" s="13" t="inlineStr">
        <is>
          <t>Annex A Controls</t>
        </is>
      </c>
    </row>
    <row r="96" ht="20" customHeight="1">
      <c r="A96" s="12" t="inlineStr">
        <is>
          <t>ISO 27001</t>
        </is>
      </c>
      <c r="B96" s="12" t="inlineStr">
        <is>
          <t>A.8.6</t>
        </is>
      </c>
      <c r="C96" s="13" t="inlineStr">
        <is>
          <t>Capacity management</t>
        </is>
      </c>
      <c r="D96" s="13" t="inlineStr">
        <is>
          <t>Annex A Controls</t>
        </is>
      </c>
    </row>
    <row r="97" ht="20" customHeight="1">
      <c r="A97" s="12" t="inlineStr">
        <is>
          <t>ISO 27001</t>
        </is>
      </c>
      <c r="B97" s="12" t="inlineStr">
        <is>
          <t>A.8.7</t>
        </is>
      </c>
      <c r="C97" s="13" t="inlineStr">
        <is>
          <t>Protection against malware</t>
        </is>
      </c>
      <c r="D97" s="13" t="inlineStr">
        <is>
          <t>Annex A Controls</t>
        </is>
      </c>
    </row>
    <row r="98" ht="20" customHeight="1">
      <c r="A98" s="12" t="inlineStr">
        <is>
          <t>ISO 27001</t>
        </is>
      </c>
      <c r="B98" s="12" t="inlineStr">
        <is>
          <t>A.8.8</t>
        </is>
      </c>
      <c r="C98" s="13" t="inlineStr">
        <is>
          <t>Management of technical vulnerabilities</t>
        </is>
      </c>
      <c r="D98" s="13" t="inlineStr">
        <is>
          <t>Annex A Controls</t>
        </is>
      </c>
    </row>
    <row r="99" ht="20" customHeight="1">
      <c r="A99" s="12" t="inlineStr">
        <is>
          <t>ISO 27001</t>
        </is>
      </c>
      <c r="B99" s="12" t="inlineStr">
        <is>
          <t>A.8.9</t>
        </is>
      </c>
      <c r="C99" s="13" t="inlineStr">
        <is>
          <t>Configuration management</t>
        </is>
      </c>
      <c r="D99" s="13" t="inlineStr">
        <is>
          <t>Annex A Controls</t>
        </is>
      </c>
    </row>
    <row r="100" ht="20" customHeight="1">
      <c r="A100" s="12" t="inlineStr">
        <is>
          <t>ISO 27001</t>
        </is>
      </c>
      <c r="B100" s="12" t="inlineStr">
        <is>
          <t>A.8.10</t>
        </is>
      </c>
      <c r="C100" s="13" t="inlineStr">
        <is>
          <t>Information deletion</t>
        </is>
      </c>
      <c r="D100" s="13" t="inlineStr">
        <is>
          <t>Annex A Controls</t>
        </is>
      </c>
    </row>
    <row r="101" ht="20" customHeight="1">
      <c r="A101" s="12" t="inlineStr">
        <is>
          <t>ISO 27001</t>
        </is>
      </c>
      <c r="B101" s="12" t="inlineStr">
        <is>
          <t>A.8.11</t>
        </is>
      </c>
      <c r="C101" s="13" t="inlineStr">
        <is>
          <t>Data masking</t>
        </is>
      </c>
      <c r="D101" s="13" t="inlineStr">
        <is>
          <t>Annex A Controls</t>
        </is>
      </c>
    </row>
    <row r="102" ht="20" customHeight="1">
      <c r="A102" s="12" t="inlineStr">
        <is>
          <t>ISO 27001</t>
        </is>
      </c>
      <c r="B102" s="12" t="inlineStr">
        <is>
          <t>A.8.12</t>
        </is>
      </c>
      <c r="C102" s="13" t="inlineStr">
        <is>
          <t>Data leakage prevention</t>
        </is>
      </c>
      <c r="D102" s="13" t="inlineStr">
        <is>
          <t>Annex A Controls</t>
        </is>
      </c>
    </row>
    <row r="103" ht="20" customHeight="1">
      <c r="A103" s="12" t="inlineStr">
        <is>
          <t>ISO 27001</t>
        </is>
      </c>
      <c r="B103" s="12" t="inlineStr">
        <is>
          <t>A.8.13</t>
        </is>
      </c>
      <c r="C103" s="13" t="inlineStr">
        <is>
          <t>Information backup</t>
        </is>
      </c>
      <c r="D103" s="13" t="inlineStr">
        <is>
          <t>Annex A Controls</t>
        </is>
      </c>
    </row>
    <row r="104" ht="20" customHeight="1">
      <c r="A104" s="12" t="inlineStr">
        <is>
          <t>ISO 27001</t>
        </is>
      </c>
      <c r="B104" s="12" t="inlineStr">
        <is>
          <t>A.8.14</t>
        </is>
      </c>
      <c r="C104" s="13" t="inlineStr">
        <is>
          <t>Redundancy of information processing facilities</t>
        </is>
      </c>
      <c r="D104" s="13" t="inlineStr">
        <is>
          <t>Annex A Controls</t>
        </is>
      </c>
    </row>
    <row r="105" ht="20" customHeight="1">
      <c r="A105" s="12" t="inlineStr">
        <is>
          <t>ISO 27001</t>
        </is>
      </c>
      <c r="B105" s="12" t="inlineStr">
        <is>
          <t>A.8.15</t>
        </is>
      </c>
      <c r="C105" s="13" t="inlineStr">
        <is>
          <t>Logging</t>
        </is>
      </c>
      <c r="D105" s="13" t="inlineStr">
        <is>
          <t>Annex A Controls</t>
        </is>
      </c>
    </row>
    <row r="106" ht="20" customHeight="1">
      <c r="A106" s="12" t="inlineStr">
        <is>
          <t>ISO 27001</t>
        </is>
      </c>
      <c r="B106" s="12" t="inlineStr">
        <is>
          <t>A.8.16</t>
        </is>
      </c>
      <c r="C106" s="13" t="inlineStr">
        <is>
          <t>Monitoring activities</t>
        </is>
      </c>
      <c r="D106" s="13" t="inlineStr">
        <is>
          <t>Annex A Controls</t>
        </is>
      </c>
    </row>
    <row r="107" ht="20" customHeight="1">
      <c r="A107" s="12" t="inlineStr">
        <is>
          <t>ISO 27001</t>
        </is>
      </c>
      <c r="B107" s="12" t="inlineStr">
        <is>
          <t>A.8.17</t>
        </is>
      </c>
      <c r="C107" s="13" t="inlineStr">
        <is>
          <t>Clock synchronization</t>
        </is>
      </c>
      <c r="D107" s="13" t="inlineStr">
        <is>
          <t>Annex A Controls</t>
        </is>
      </c>
    </row>
    <row r="108" ht="20" customHeight="1">
      <c r="A108" s="12" t="inlineStr">
        <is>
          <t>ISO 27001</t>
        </is>
      </c>
      <c r="B108" s="12" t="inlineStr">
        <is>
          <t>A.8.18</t>
        </is>
      </c>
      <c r="C108" s="13" t="inlineStr">
        <is>
          <t>Use of privileged utility programs</t>
        </is>
      </c>
      <c r="D108" s="13" t="inlineStr">
        <is>
          <t>Annex A Controls</t>
        </is>
      </c>
    </row>
    <row r="109" ht="20" customHeight="1">
      <c r="A109" s="12" t="inlineStr">
        <is>
          <t>ISO 27001</t>
        </is>
      </c>
      <c r="B109" s="12" t="inlineStr">
        <is>
          <t>A.8.19</t>
        </is>
      </c>
      <c r="C109" s="13" t="inlineStr">
        <is>
          <t>Installation of software on operational systems</t>
        </is>
      </c>
      <c r="D109" s="13" t="inlineStr">
        <is>
          <t>Annex A Controls</t>
        </is>
      </c>
    </row>
    <row r="110" ht="20" customHeight="1">
      <c r="A110" s="12" t="inlineStr">
        <is>
          <t>ISO 27001</t>
        </is>
      </c>
      <c r="B110" s="12" t="inlineStr">
        <is>
          <t>A.8.20</t>
        </is>
      </c>
      <c r="C110" s="13" t="inlineStr">
        <is>
          <t>Networks security</t>
        </is>
      </c>
      <c r="D110" s="13" t="inlineStr">
        <is>
          <t>Annex A Controls</t>
        </is>
      </c>
    </row>
    <row r="111" ht="20" customHeight="1">
      <c r="A111" s="12" t="inlineStr">
        <is>
          <t>ISO 27001</t>
        </is>
      </c>
      <c r="B111" s="12" t="inlineStr">
        <is>
          <t>A.8.21</t>
        </is>
      </c>
      <c r="C111" s="13" t="inlineStr">
        <is>
          <t>Security of network services</t>
        </is>
      </c>
      <c r="D111" s="13" t="inlineStr">
        <is>
          <t>Annex A Controls</t>
        </is>
      </c>
    </row>
    <row r="112" ht="20" customHeight="1">
      <c r="A112" s="12" t="inlineStr">
        <is>
          <t>ISO 27001</t>
        </is>
      </c>
      <c r="B112" s="12" t="inlineStr">
        <is>
          <t>A.8.22</t>
        </is>
      </c>
      <c r="C112" s="13" t="inlineStr">
        <is>
          <t>Segregation of networks</t>
        </is>
      </c>
      <c r="D112" s="13" t="inlineStr">
        <is>
          <t>Annex A Controls</t>
        </is>
      </c>
    </row>
    <row r="113" ht="20" customHeight="1">
      <c r="A113" s="12" t="inlineStr">
        <is>
          <t>ISO 27001</t>
        </is>
      </c>
      <c r="B113" s="12" t="inlineStr">
        <is>
          <t>A.8.23</t>
        </is>
      </c>
      <c r="C113" s="13" t="inlineStr">
        <is>
          <t>Web filtering</t>
        </is>
      </c>
      <c r="D113" s="13" t="inlineStr">
        <is>
          <t>Annex A Controls</t>
        </is>
      </c>
    </row>
    <row r="114" ht="20" customHeight="1">
      <c r="A114" s="12" t="inlineStr">
        <is>
          <t>ISO 27001</t>
        </is>
      </c>
      <c r="B114" s="12" t="inlineStr">
        <is>
          <t>A.8.24</t>
        </is>
      </c>
      <c r="C114" s="13" t="inlineStr">
        <is>
          <t>Use of cryptography</t>
        </is>
      </c>
      <c r="D114" s="13" t="inlineStr">
        <is>
          <t>Annex A Controls</t>
        </is>
      </c>
    </row>
    <row r="115" ht="20" customHeight="1">
      <c r="A115" s="12" t="inlineStr">
        <is>
          <t>ISO 27001</t>
        </is>
      </c>
      <c r="B115" s="12" t="inlineStr">
        <is>
          <t>A.8.25</t>
        </is>
      </c>
      <c r="C115" s="13" t="inlineStr">
        <is>
          <t>Secure development life cycle</t>
        </is>
      </c>
      <c r="D115" s="13" t="inlineStr">
        <is>
          <t>Annex A Controls</t>
        </is>
      </c>
    </row>
    <row r="116" ht="20" customHeight="1">
      <c r="A116" s="12" t="inlineStr">
        <is>
          <t>ISO 27001</t>
        </is>
      </c>
      <c r="B116" s="12" t="inlineStr">
        <is>
          <t>A.8.26</t>
        </is>
      </c>
      <c r="C116" s="13" t="inlineStr">
        <is>
          <t>Application security requirements</t>
        </is>
      </c>
      <c r="D116" s="13" t="inlineStr">
        <is>
          <t>Annex A Controls</t>
        </is>
      </c>
    </row>
    <row r="117" ht="20" customHeight="1">
      <c r="A117" s="12" t="inlineStr">
        <is>
          <t>ISO 27001</t>
        </is>
      </c>
      <c r="B117" s="12" t="inlineStr">
        <is>
          <t>A.8.27</t>
        </is>
      </c>
      <c r="C117" s="13" t="inlineStr">
        <is>
          <t>Secure system architecture and engineering principles</t>
        </is>
      </c>
      <c r="D117" s="13" t="inlineStr">
        <is>
          <t>Annex A Controls</t>
        </is>
      </c>
    </row>
    <row r="118" ht="20" customHeight="1">
      <c r="A118" s="12" t="inlineStr">
        <is>
          <t>ISO 27001</t>
        </is>
      </c>
      <c r="B118" s="12" t="inlineStr">
        <is>
          <t>A.8.28</t>
        </is>
      </c>
      <c r="C118" s="13" t="inlineStr">
        <is>
          <t>Secure coding</t>
        </is>
      </c>
      <c r="D118" s="13" t="inlineStr">
        <is>
          <t>Annex A Controls</t>
        </is>
      </c>
    </row>
    <row r="119" ht="20" customHeight="1">
      <c r="A119" s="12" t="inlineStr">
        <is>
          <t>ISO 27001</t>
        </is>
      </c>
      <c r="B119" s="12" t="inlineStr">
        <is>
          <t>A.8.29</t>
        </is>
      </c>
      <c r="C119" s="13" t="inlineStr">
        <is>
          <t>Security testing in development and acceptance</t>
        </is>
      </c>
      <c r="D119" s="13" t="inlineStr">
        <is>
          <t>Annex A Controls</t>
        </is>
      </c>
    </row>
    <row r="120" ht="20" customHeight="1">
      <c r="A120" s="12" t="inlineStr">
        <is>
          <t>ISO 27001</t>
        </is>
      </c>
      <c r="B120" s="12" t="inlineStr">
        <is>
          <t>A.8.30</t>
        </is>
      </c>
      <c r="C120" s="13" t="inlineStr">
        <is>
          <t>Outsourced development</t>
        </is>
      </c>
      <c r="D120" s="13" t="inlineStr">
        <is>
          <t>Annex A Controls</t>
        </is>
      </c>
    </row>
    <row r="121" ht="20" customHeight="1">
      <c r="A121" s="12" t="inlineStr">
        <is>
          <t>ISO 27001</t>
        </is>
      </c>
      <c r="B121" s="12" t="inlineStr">
        <is>
          <t>A.8.31</t>
        </is>
      </c>
      <c r="C121" s="13" t="inlineStr">
        <is>
          <t>Separation of development, test and production environments</t>
        </is>
      </c>
      <c r="D121" s="13" t="inlineStr">
        <is>
          <t>Annex A Controls</t>
        </is>
      </c>
    </row>
    <row r="122" ht="20" customHeight="1">
      <c r="A122" s="12" t="inlineStr">
        <is>
          <t>ISO 27001</t>
        </is>
      </c>
      <c r="B122" s="12" t="inlineStr">
        <is>
          <t>A.8.32</t>
        </is>
      </c>
      <c r="C122" s="13" t="inlineStr">
        <is>
          <t>Change management</t>
        </is>
      </c>
      <c r="D122" s="13" t="inlineStr">
        <is>
          <t>Annex A Controls</t>
        </is>
      </c>
    </row>
    <row r="123" ht="20" customHeight="1">
      <c r="A123" s="12" t="inlineStr">
        <is>
          <t>ISO 27001</t>
        </is>
      </c>
      <c r="B123" s="12" t="inlineStr">
        <is>
          <t>A.8.33</t>
        </is>
      </c>
      <c r="C123" s="13" t="inlineStr">
        <is>
          <t>Test information</t>
        </is>
      </c>
      <c r="D123" s="13" t="inlineStr">
        <is>
          <t>Annex A Controls</t>
        </is>
      </c>
    </row>
    <row r="124" ht="20" customHeight="1">
      <c r="A124" s="12" t="inlineStr">
        <is>
          <t>ISO 27001</t>
        </is>
      </c>
      <c r="B124" s="12" t="inlineStr">
        <is>
          <t>A.8.34</t>
        </is>
      </c>
      <c r="C124" s="13" t="inlineStr">
        <is>
          <t>Protection of information systems during audit testing</t>
        </is>
      </c>
      <c r="D124" s="13" t="inlineStr">
        <is>
          <t>Annex A Controls</t>
        </is>
      </c>
    </row>
    <row r="125" ht="20" customHeight="1">
      <c r="A125" s="12" t="inlineStr">
        <is>
          <t>ISO 27701</t>
        </is>
      </c>
      <c r="B125" s="12" t="inlineStr">
        <is>
          <t>4.1</t>
        </is>
      </c>
      <c r="C125" s="13" t="inlineStr">
        <is>
          <t>Understanding the organization and its context</t>
        </is>
      </c>
      <c r="D125" s="13" t="inlineStr">
        <is>
          <t>4 Context of the organization</t>
        </is>
      </c>
    </row>
    <row r="126" ht="20" customHeight="1">
      <c r="A126" s="12" t="inlineStr">
        <is>
          <t>ISO 27701</t>
        </is>
      </c>
      <c r="B126" s="12" t="inlineStr">
        <is>
          <t>4.2</t>
        </is>
      </c>
      <c r="C126" s="13" t="inlineStr">
        <is>
          <t>Understanding the needs and expectations of interested parties</t>
        </is>
      </c>
      <c r="D126" s="13" t="inlineStr">
        <is>
          <t>4 Context of the organization</t>
        </is>
      </c>
    </row>
    <row r="127" ht="20" customHeight="1">
      <c r="A127" s="12" t="inlineStr">
        <is>
          <t>ISO 27701</t>
        </is>
      </c>
      <c r="B127" s="12" t="inlineStr">
        <is>
          <t>4.3</t>
        </is>
      </c>
      <c r="C127" s="13" t="inlineStr">
        <is>
          <t>Determining the scope of the privacy information management system</t>
        </is>
      </c>
      <c r="D127" s="13" t="inlineStr">
        <is>
          <t>4 Context of the organization</t>
        </is>
      </c>
    </row>
    <row r="128" ht="20" customHeight="1">
      <c r="A128" s="12" t="inlineStr">
        <is>
          <t>ISO 27701</t>
        </is>
      </c>
      <c r="B128" s="12" t="inlineStr">
        <is>
          <t>4.4</t>
        </is>
      </c>
      <c r="C128" s="13" t="inlineStr">
        <is>
          <t>Privacy information management system</t>
        </is>
      </c>
      <c r="D128" s="13" t="inlineStr">
        <is>
          <t>4 Context of the organization</t>
        </is>
      </c>
    </row>
    <row r="129" ht="20" customHeight="1">
      <c r="A129" s="12" t="inlineStr">
        <is>
          <t>ISO 27701</t>
        </is>
      </c>
      <c r="B129" s="12" t="inlineStr">
        <is>
          <t>5.1</t>
        </is>
      </c>
      <c r="C129" s="13" t="inlineStr">
        <is>
          <t>Leadership and commitment</t>
        </is>
      </c>
      <c r="D129" s="13" t="inlineStr">
        <is>
          <t>5 Leadership</t>
        </is>
      </c>
    </row>
    <row r="130" ht="20" customHeight="1">
      <c r="A130" s="12" t="inlineStr">
        <is>
          <t>ISO 27701</t>
        </is>
      </c>
      <c r="B130" s="12" t="inlineStr">
        <is>
          <t>5.2</t>
        </is>
      </c>
      <c r="C130" s="13" t="inlineStr">
        <is>
          <t>Privacy Policy</t>
        </is>
      </c>
      <c r="D130" s="13" t="inlineStr">
        <is>
          <t>5 Leadership</t>
        </is>
      </c>
    </row>
    <row r="131" ht="20" customHeight="1">
      <c r="A131" s="12" t="inlineStr">
        <is>
          <t>ISO 27701</t>
        </is>
      </c>
      <c r="B131" s="12" t="inlineStr">
        <is>
          <t>5.3</t>
        </is>
      </c>
      <c r="C131" s="13" t="inlineStr">
        <is>
          <t>Roles, responsibilities and authorities</t>
        </is>
      </c>
      <c r="D131" s="13" t="inlineStr">
        <is>
          <t>5 Leadership</t>
        </is>
      </c>
    </row>
    <row r="132" ht="20" customHeight="1">
      <c r="A132" s="12" t="inlineStr">
        <is>
          <t>ISO 27701</t>
        </is>
      </c>
      <c r="B132" s="12" t="inlineStr">
        <is>
          <t>6.1</t>
        </is>
      </c>
      <c r="C132" s="13" t="inlineStr">
        <is>
          <t>Actions to address risks and opportunities</t>
        </is>
      </c>
      <c r="D132" s="13" t="inlineStr">
        <is>
          <t>6 Planning</t>
        </is>
      </c>
    </row>
    <row r="133" ht="20" customHeight="1">
      <c r="A133" s="12" t="inlineStr">
        <is>
          <t>ISO 27701</t>
        </is>
      </c>
      <c r="B133" s="12" t="inlineStr">
        <is>
          <t>6.1.2</t>
        </is>
      </c>
      <c r="C133" s="13" t="inlineStr">
        <is>
          <t>Privacy risk assessment</t>
        </is>
      </c>
      <c r="D133" s="13" t="inlineStr">
        <is>
          <t>6 Planning</t>
        </is>
      </c>
    </row>
    <row r="134" ht="20" customHeight="1">
      <c r="A134" s="12" t="inlineStr">
        <is>
          <t>ISO 27701</t>
        </is>
      </c>
      <c r="B134" s="12" t="inlineStr">
        <is>
          <t>6.1.3</t>
        </is>
      </c>
      <c r="C134" s="13" t="inlineStr">
        <is>
          <t>Privacy risk treatment</t>
        </is>
      </c>
      <c r="D134" s="13" t="inlineStr">
        <is>
          <t>6 Planning</t>
        </is>
      </c>
    </row>
    <row r="135" ht="20" customHeight="1">
      <c r="A135" s="12" t="inlineStr">
        <is>
          <t>ISO 27701</t>
        </is>
      </c>
      <c r="B135" s="12" t="inlineStr">
        <is>
          <t>6.2</t>
        </is>
      </c>
      <c r="C135" s="13" t="inlineStr">
        <is>
          <t>Privacy objectives and planning to achieve them</t>
        </is>
      </c>
      <c r="D135" s="13" t="inlineStr">
        <is>
          <t>6 Planning</t>
        </is>
      </c>
    </row>
    <row r="136" ht="20" customHeight="1">
      <c r="A136" s="12" t="inlineStr">
        <is>
          <t>ISO 27701</t>
        </is>
      </c>
      <c r="B136" s="12" t="inlineStr">
        <is>
          <t>6.3</t>
        </is>
      </c>
      <c r="C136" s="13" t="inlineStr">
        <is>
          <t>Planning of changes</t>
        </is>
      </c>
      <c r="D136" s="13" t="inlineStr">
        <is>
          <t>6 Planning</t>
        </is>
      </c>
    </row>
    <row r="137" ht="20" customHeight="1">
      <c r="A137" s="12" t="inlineStr">
        <is>
          <t>ISO 27701</t>
        </is>
      </c>
      <c r="B137" s="12" t="inlineStr">
        <is>
          <t>7.1</t>
        </is>
      </c>
      <c r="C137" s="13" t="inlineStr">
        <is>
          <t>Resources</t>
        </is>
      </c>
      <c r="D137" s="13" t="inlineStr">
        <is>
          <t>7 Support</t>
        </is>
      </c>
    </row>
    <row r="138" ht="20" customHeight="1">
      <c r="A138" s="12" t="inlineStr">
        <is>
          <t>ISO 27701</t>
        </is>
      </c>
      <c r="B138" s="12" t="inlineStr">
        <is>
          <t>7.2</t>
        </is>
      </c>
      <c r="C138" s="13" t="inlineStr">
        <is>
          <t>Competence</t>
        </is>
      </c>
      <c r="D138" s="13" t="inlineStr">
        <is>
          <t>7 Support</t>
        </is>
      </c>
    </row>
    <row r="139" ht="20" customHeight="1">
      <c r="A139" s="12" t="inlineStr">
        <is>
          <t>ISO 27701</t>
        </is>
      </c>
      <c r="B139" s="12" t="inlineStr">
        <is>
          <t>7.3</t>
        </is>
      </c>
      <c r="C139" s="13" t="inlineStr">
        <is>
          <t>Awareness</t>
        </is>
      </c>
      <c r="D139" s="13" t="inlineStr">
        <is>
          <t>7 Support</t>
        </is>
      </c>
    </row>
    <row r="140" ht="20" customHeight="1">
      <c r="A140" s="12" t="inlineStr">
        <is>
          <t>ISO 27701</t>
        </is>
      </c>
      <c r="B140" s="12" t="inlineStr">
        <is>
          <t>7.4</t>
        </is>
      </c>
      <c r="C140" s="13" t="inlineStr">
        <is>
          <t>Communication</t>
        </is>
      </c>
      <c r="D140" s="13" t="inlineStr">
        <is>
          <t>7 Support</t>
        </is>
      </c>
    </row>
    <row r="141" ht="20" customHeight="1">
      <c r="A141" s="12" t="inlineStr">
        <is>
          <t>ISO 27701</t>
        </is>
      </c>
      <c r="B141" s="12" t="inlineStr">
        <is>
          <t>7.5.1</t>
        </is>
      </c>
      <c r="C141" s="13" t="inlineStr">
        <is>
          <t>General</t>
        </is>
      </c>
      <c r="D141" s="13" t="inlineStr">
        <is>
          <t>7 Support</t>
        </is>
      </c>
    </row>
    <row r="142" ht="20" customHeight="1">
      <c r="A142" s="12" t="inlineStr">
        <is>
          <t>ISO 27701</t>
        </is>
      </c>
      <c r="B142" s="12" t="inlineStr">
        <is>
          <t>7.5.2</t>
        </is>
      </c>
      <c r="C142" s="13" t="inlineStr">
        <is>
          <t>Creating and updating documented information</t>
        </is>
      </c>
      <c r="D142" s="13" t="inlineStr">
        <is>
          <t>7 Support</t>
        </is>
      </c>
    </row>
    <row r="143" ht="20" customHeight="1">
      <c r="A143" s="12" t="inlineStr">
        <is>
          <t>ISO 27701</t>
        </is>
      </c>
      <c r="B143" s="12" t="inlineStr">
        <is>
          <t>7.5.3</t>
        </is>
      </c>
      <c r="C143" s="13" t="inlineStr">
        <is>
          <t>Control of documented information</t>
        </is>
      </c>
      <c r="D143" s="13" t="inlineStr">
        <is>
          <t>7 Support</t>
        </is>
      </c>
    </row>
    <row r="144" ht="20" customHeight="1">
      <c r="A144" s="12" t="inlineStr">
        <is>
          <t>ISO 27701</t>
        </is>
      </c>
      <c r="B144" s="12" t="inlineStr">
        <is>
          <t>8.1</t>
        </is>
      </c>
      <c r="C144" s="13" t="inlineStr">
        <is>
          <t>Operational planning and control</t>
        </is>
      </c>
      <c r="D144" s="13" t="inlineStr">
        <is>
          <t>8 Operation</t>
        </is>
      </c>
    </row>
    <row r="145" ht="20" customHeight="1">
      <c r="A145" s="12" t="inlineStr">
        <is>
          <t>ISO 27701</t>
        </is>
      </c>
      <c r="B145" s="12" t="inlineStr">
        <is>
          <t>8.2</t>
        </is>
      </c>
      <c r="C145" s="13" t="inlineStr">
        <is>
          <t>Privacy risk assessment</t>
        </is>
      </c>
      <c r="D145" s="13" t="inlineStr">
        <is>
          <t>8 Operation</t>
        </is>
      </c>
    </row>
    <row r="146" ht="20" customHeight="1">
      <c r="A146" s="12" t="inlineStr">
        <is>
          <t>ISO 27701</t>
        </is>
      </c>
      <c r="B146" s="12" t="inlineStr">
        <is>
          <t>8.3</t>
        </is>
      </c>
      <c r="C146" s="13" t="inlineStr">
        <is>
          <t>Privacy risk treatment</t>
        </is>
      </c>
      <c r="D146" s="13" t="inlineStr">
        <is>
          <t>8 Operation</t>
        </is>
      </c>
    </row>
    <row r="147" ht="20" customHeight="1">
      <c r="A147" s="12" t="inlineStr">
        <is>
          <t>ISO 27701</t>
        </is>
      </c>
      <c r="B147" s="12" t="inlineStr">
        <is>
          <t>9.1</t>
        </is>
      </c>
      <c r="C147" s="13" t="inlineStr">
        <is>
          <t>Monitoring, measurement, analysis and evaluation</t>
        </is>
      </c>
      <c r="D147" s="13" t="inlineStr">
        <is>
          <t>9 Performance Evaluation</t>
        </is>
      </c>
    </row>
    <row r="148" ht="20" customHeight="1">
      <c r="A148" s="12" t="inlineStr">
        <is>
          <t>ISO 27701</t>
        </is>
      </c>
      <c r="B148" s="12" t="inlineStr">
        <is>
          <t>9.2.1</t>
        </is>
      </c>
      <c r="C148" s="13" t="inlineStr">
        <is>
          <t>General</t>
        </is>
      </c>
      <c r="D148" s="13" t="inlineStr">
        <is>
          <t>9 Performance Evaluation</t>
        </is>
      </c>
    </row>
    <row r="149" ht="20" customHeight="1">
      <c r="A149" s="12" t="inlineStr">
        <is>
          <t>ISO 27701</t>
        </is>
      </c>
      <c r="B149" s="12" t="inlineStr">
        <is>
          <t>9.2.2</t>
        </is>
      </c>
      <c r="C149" s="13" t="inlineStr">
        <is>
          <t>Internal audit programme</t>
        </is>
      </c>
      <c r="D149" s="13" t="inlineStr">
        <is>
          <t>9 Performance Evaluation</t>
        </is>
      </c>
    </row>
    <row r="150" ht="20" customHeight="1">
      <c r="A150" s="12" t="inlineStr">
        <is>
          <t>ISO 27701</t>
        </is>
      </c>
      <c r="B150" s="12" t="inlineStr">
        <is>
          <t>9.3.1</t>
        </is>
      </c>
      <c r="C150" s="13" t="inlineStr">
        <is>
          <t>General</t>
        </is>
      </c>
      <c r="D150" s="13" t="inlineStr">
        <is>
          <t>9 Performance Evaluation</t>
        </is>
      </c>
    </row>
    <row r="151" ht="20" customHeight="1">
      <c r="A151" s="12" t="inlineStr">
        <is>
          <t>ISO 27701</t>
        </is>
      </c>
      <c r="B151" s="12" t="inlineStr">
        <is>
          <t>9.3.2</t>
        </is>
      </c>
      <c r="C151" s="13" t="inlineStr">
        <is>
          <t>Management review inputs</t>
        </is>
      </c>
      <c r="D151" s="13" t="inlineStr">
        <is>
          <t>9 Performance Evaluation</t>
        </is>
      </c>
    </row>
    <row r="152" ht="20" customHeight="1">
      <c r="A152" s="12" t="inlineStr">
        <is>
          <t>ISO 27701</t>
        </is>
      </c>
      <c r="B152" s="12" t="inlineStr">
        <is>
          <t>9.3.3</t>
        </is>
      </c>
      <c r="C152" s="13" t="inlineStr">
        <is>
          <t>Management review results</t>
        </is>
      </c>
      <c r="D152" s="13" t="inlineStr">
        <is>
          <t>9 Performance Evaluation</t>
        </is>
      </c>
    </row>
    <row r="153" ht="20" customHeight="1">
      <c r="A153" s="12" t="inlineStr">
        <is>
          <t>ISO 27701</t>
        </is>
      </c>
      <c r="B153" s="12" t="inlineStr">
        <is>
          <t>10.1</t>
        </is>
      </c>
      <c r="C153" s="13" t="inlineStr">
        <is>
          <t>Continual improvement</t>
        </is>
      </c>
      <c r="D153" s="13" t="inlineStr">
        <is>
          <t>10 Improvement</t>
        </is>
      </c>
    </row>
    <row r="154" ht="20" customHeight="1">
      <c r="A154" s="12" t="inlineStr">
        <is>
          <t>ISO 27701</t>
        </is>
      </c>
      <c r="B154" s="12" t="inlineStr">
        <is>
          <t>10.2</t>
        </is>
      </c>
      <c r="C154" s="13" t="inlineStr">
        <is>
          <t>Nonconformity and corrective action</t>
        </is>
      </c>
      <c r="D154" s="13" t="inlineStr">
        <is>
          <t>10 Improvement</t>
        </is>
      </c>
    </row>
    <row r="155" ht="20" customHeight="1">
      <c r="A155" s="12" t="inlineStr">
        <is>
          <t>ISO 27701</t>
        </is>
      </c>
      <c r="B155" s="12" t="inlineStr">
        <is>
          <t>A.1.2.2</t>
        </is>
      </c>
      <c r="C155" s="13" t="inlineStr">
        <is>
          <t>Identify and document purpose</t>
        </is>
      </c>
      <c r="D155" s="13" t="inlineStr">
        <is>
          <t>PIMS Controller Controls</t>
        </is>
      </c>
    </row>
    <row r="156" ht="20" customHeight="1">
      <c r="A156" s="12" t="inlineStr">
        <is>
          <t>ISO 27701</t>
        </is>
      </c>
      <c r="B156" s="12" t="inlineStr">
        <is>
          <t>A.1.2.3</t>
        </is>
      </c>
      <c r="C156" s="13" t="inlineStr">
        <is>
          <t>Identify lawful basis</t>
        </is>
      </c>
      <c r="D156" s="13" t="inlineStr">
        <is>
          <t>PIMS Controller Controls</t>
        </is>
      </c>
    </row>
    <row r="157" ht="20" customHeight="1">
      <c r="A157" s="12" t="inlineStr">
        <is>
          <t>ISO 27701</t>
        </is>
      </c>
      <c r="B157" s="12" t="inlineStr">
        <is>
          <t>A.1.2.4</t>
        </is>
      </c>
      <c r="C157" s="13" t="inlineStr">
        <is>
          <t>Determine when and how consent is to be obtained</t>
        </is>
      </c>
      <c r="D157" s="13" t="inlineStr">
        <is>
          <t>PIMS Controller Controls</t>
        </is>
      </c>
    </row>
    <row r="158" ht="20" customHeight="1">
      <c r="A158" s="12" t="inlineStr">
        <is>
          <t>ISO 27701</t>
        </is>
      </c>
      <c r="B158" s="12" t="inlineStr">
        <is>
          <t>A.1.2.5</t>
        </is>
      </c>
      <c r="C158" s="13" t="inlineStr">
        <is>
          <t>Obtain and record consent</t>
        </is>
      </c>
      <c r="D158" s="13" t="inlineStr">
        <is>
          <t>PIMS Controller Controls</t>
        </is>
      </c>
    </row>
    <row r="159" ht="20" customHeight="1">
      <c r="A159" s="12" t="inlineStr">
        <is>
          <t>ISO 27701</t>
        </is>
      </c>
      <c r="B159" s="12" t="inlineStr">
        <is>
          <t>A.1.2.6</t>
        </is>
      </c>
      <c r="C159" s="13" t="inlineStr">
        <is>
          <t>Privacy impact assessment</t>
        </is>
      </c>
      <c r="D159" s="13" t="inlineStr">
        <is>
          <t>PIMS Controller Controls</t>
        </is>
      </c>
    </row>
    <row r="160" ht="20" customHeight="1">
      <c r="A160" s="12" t="inlineStr">
        <is>
          <t>ISO 27701</t>
        </is>
      </c>
      <c r="B160" s="12" t="inlineStr">
        <is>
          <t>A.1.2.7</t>
        </is>
      </c>
      <c r="C160" s="13" t="inlineStr">
        <is>
          <t>Contracts with PII processors</t>
        </is>
      </c>
      <c r="D160" s="13" t="inlineStr">
        <is>
          <t>PIMS Controller Controls</t>
        </is>
      </c>
    </row>
    <row r="161" ht="20" customHeight="1">
      <c r="A161" s="12" t="inlineStr">
        <is>
          <t>ISO 27701</t>
        </is>
      </c>
      <c r="B161" s="12" t="inlineStr">
        <is>
          <t>A.1.2.8</t>
        </is>
      </c>
      <c r="C161" s="13" t="inlineStr">
        <is>
          <t>Joint PII controller</t>
        </is>
      </c>
      <c r="D161" s="13" t="inlineStr">
        <is>
          <t>PIMS Controller Controls</t>
        </is>
      </c>
    </row>
    <row r="162" ht="20" customHeight="1">
      <c r="A162" s="12" t="inlineStr">
        <is>
          <t>ISO 27701</t>
        </is>
      </c>
      <c r="B162" s="12" t="inlineStr">
        <is>
          <t>A.1.2.9</t>
        </is>
      </c>
      <c r="C162" s="13" t="inlineStr">
        <is>
          <t>Records related to processing PII</t>
        </is>
      </c>
      <c r="D162" s="13" t="inlineStr">
        <is>
          <t>PIMS Controller Controls</t>
        </is>
      </c>
    </row>
    <row r="163" ht="20" customHeight="1">
      <c r="A163" s="12" t="inlineStr">
        <is>
          <t>ISO 27701</t>
        </is>
      </c>
      <c r="B163" s="12" t="inlineStr">
        <is>
          <t>A.1.3.2</t>
        </is>
      </c>
      <c r="C163" s="13" t="inlineStr">
        <is>
          <t>Determining and fulfilling obligations to PII principals</t>
        </is>
      </c>
      <c r="D163" s="13" t="inlineStr">
        <is>
          <t>PIMS Controller Controls</t>
        </is>
      </c>
    </row>
    <row r="164" ht="20" customHeight="1">
      <c r="A164" s="12" t="inlineStr">
        <is>
          <t>ISO 27701</t>
        </is>
      </c>
      <c r="B164" s="12" t="inlineStr">
        <is>
          <t>A.1.3.3</t>
        </is>
      </c>
      <c r="C164" s="13" t="inlineStr">
        <is>
          <t>Determining information for PII principals</t>
        </is>
      </c>
      <c r="D164" s="13" t="inlineStr">
        <is>
          <t>PIMS Controller Controls</t>
        </is>
      </c>
    </row>
    <row r="165" ht="20" customHeight="1">
      <c r="A165" s="12" t="inlineStr">
        <is>
          <t>ISO 27701</t>
        </is>
      </c>
      <c r="B165" s="12" t="inlineStr">
        <is>
          <t>A.1.3.4</t>
        </is>
      </c>
      <c r="C165" s="13" t="inlineStr">
        <is>
          <t>Providing information to PII principals</t>
        </is>
      </c>
      <c r="D165" s="13" t="inlineStr">
        <is>
          <t>PIMS Controller Controls</t>
        </is>
      </c>
    </row>
    <row r="166" ht="20" customHeight="1">
      <c r="A166" s="12" t="inlineStr">
        <is>
          <t>ISO 27701</t>
        </is>
      </c>
      <c r="B166" s="12" t="inlineStr">
        <is>
          <t>A.1.3.5</t>
        </is>
      </c>
      <c r="C166" s="13" t="inlineStr">
        <is>
          <t>Providing mechanism to modify or withdraw consent</t>
        </is>
      </c>
      <c r="D166" s="13" t="inlineStr">
        <is>
          <t>PIMS Controller Controls</t>
        </is>
      </c>
    </row>
    <row r="167" ht="20" customHeight="1">
      <c r="A167" s="12" t="inlineStr">
        <is>
          <t>ISO 27701</t>
        </is>
      </c>
      <c r="B167" s="12" t="inlineStr">
        <is>
          <t>A.1.3.6</t>
        </is>
      </c>
      <c r="C167" s="13" t="inlineStr">
        <is>
          <t>Providing mechanism to object to PII processing</t>
        </is>
      </c>
      <c r="D167" s="13" t="inlineStr">
        <is>
          <t>PIMS Controller Controls</t>
        </is>
      </c>
    </row>
    <row r="168" ht="20" customHeight="1">
      <c r="A168" s="12" t="inlineStr">
        <is>
          <t>ISO 27701</t>
        </is>
      </c>
      <c r="B168" s="12" t="inlineStr">
        <is>
          <t>A.1.3.7</t>
        </is>
      </c>
      <c r="C168" s="13" t="inlineStr">
        <is>
          <t>Access, correction or erasure</t>
        </is>
      </c>
      <c r="D168" s="13" t="inlineStr">
        <is>
          <t>PIMS Controller Controls</t>
        </is>
      </c>
    </row>
    <row r="169" ht="20" customHeight="1">
      <c r="A169" s="12" t="inlineStr">
        <is>
          <t>ISO 27701</t>
        </is>
      </c>
      <c r="B169" s="12" t="inlineStr">
        <is>
          <t>A.1.3.8</t>
        </is>
      </c>
      <c r="C169" s="13" t="inlineStr">
        <is>
          <t>PII controllers' obligations to inform third parties</t>
        </is>
      </c>
      <c r="D169" s="13" t="inlineStr">
        <is>
          <t>PIMS Controller Controls</t>
        </is>
      </c>
    </row>
    <row r="170" ht="20" customHeight="1">
      <c r="A170" s="12" t="inlineStr">
        <is>
          <t>ISO 27701</t>
        </is>
      </c>
      <c r="B170" s="12" t="inlineStr">
        <is>
          <t>A.1.3.9</t>
        </is>
      </c>
      <c r="C170" s="13" t="inlineStr">
        <is>
          <t>Providing copy of PII processed</t>
        </is>
      </c>
      <c r="D170" s="13" t="inlineStr">
        <is>
          <t>PIMS Controller Controls</t>
        </is>
      </c>
    </row>
    <row r="171" ht="20" customHeight="1">
      <c r="A171" s="12" t="inlineStr">
        <is>
          <t>ISO 27701</t>
        </is>
      </c>
      <c r="B171" s="12" t="inlineStr">
        <is>
          <t>A.1.3.10</t>
        </is>
      </c>
      <c r="C171" s="13" t="inlineStr">
        <is>
          <t>Handling requests</t>
        </is>
      </c>
      <c r="D171" s="13" t="inlineStr">
        <is>
          <t>PIMS Controller Controls</t>
        </is>
      </c>
    </row>
    <row r="172" ht="20" customHeight="1">
      <c r="A172" s="12" t="inlineStr">
        <is>
          <t>ISO 27701</t>
        </is>
      </c>
      <c r="B172" s="12" t="inlineStr">
        <is>
          <t>A.1.3.11</t>
        </is>
      </c>
      <c r="C172" s="13" t="inlineStr">
        <is>
          <t>Automated decision making</t>
        </is>
      </c>
      <c r="D172" s="13" t="inlineStr">
        <is>
          <t>PIMS Controller Controls</t>
        </is>
      </c>
    </row>
    <row r="173" ht="20" customHeight="1">
      <c r="A173" s="12" t="inlineStr">
        <is>
          <t>ISO 27701</t>
        </is>
      </c>
      <c r="B173" s="12" t="inlineStr">
        <is>
          <t>A.1.4.2</t>
        </is>
      </c>
      <c r="C173" s="13" t="inlineStr">
        <is>
          <t>Limit collection</t>
        </is>
      </c>
      <c r="D173" s="13" t="inlineStr">
        <is>
          <t>PIMS Controller Controls</t>
        </is>
      </c>
    </row>
    <row r="174" ht="20" customHeight="1">
      <c r="A174" s="12" t="inlineStr">
        <is>
          <t>ISO 27701</t>
        </is>
      </c>
      <c r="B174" s="12" t="inlineStr">
        <is>
          <t>A.1.4.3</t>
        </is>
      </c>
      <c r="C174" s="13" t="inlineStr">
        <is>
          <t>Limit processing</t>
        </is>
      </c>
      <c r="D174" s="13" t="inlineStr">
        <is>
          <t>PIMS Controller Controls</t>
        </is>
      </c>
    </row>
    <row r="175" ht="20" customHeight="1">
      <c r="A175" s="12" t="inlineStr">
        <is>
          <t>ISO 27701</t>
        </is>
      </c>
      <c r="B175" s="12" t="inlineStr">
        <is>
          <t>A.1.4.4</t>
        </is>
      </c>
      <c r="C175" s="13" t="inlineStr">
        <is>
          <t>Accuracy and quality</t>
        </is>
      </c>
      <c r="D175" s="13" t="inlineStr">
        <is>
          <t>PIMS Controller Controls</t>
        </is>
      </c>
    </row>
    <row r="176" ht="20" customHeight="1">
      <c r="A176" s="12" t="inlineStr">
        <is>
          <t>ISO 27701</t>
        </is>
      </c>
      <c r="B176" s="12" t="inlineStr">
        <is>
          <t>A.1.4.5</t>
        </is>
      </c>
      <c r="C176" s="13" t="inlineStr">
        <is>
          <t>PII minimization objectives</t>
        </is>
      </c>
      <c r="D176" s="13" t="inlineStr">
        <is>
          <t>PIMS Controller Controls</t>
        </is>
      </c>
    </row>
    <row r="177" ht="20" customHeight="1">
      <c r="A177" s="12" t="inlineStr">
        <is>
          <t>ISO 27701</t>
        </is>
      </c>
      <c r="B177" s="12" t="inlineStr">
        <is>
          <t>A.1.4.6</t>
        </is>
      </c>
      <c r="C177" s="13" t="inlineStr">
        <is>
          <t>PII de-identification and deletion at the end of processing</t>
        </is>
      </c>
      <c r="D177" s="13" t="inlineStr">
        <is>
          <t>PIMS Controller Controls</t>
        </is>
      </c>
    </row>
    <row r="178" ht="20" customHeight="1">
      <c r="A178" s="12" t="inlineStr">
        <is>
          <t>ISO 27701</t>
        </is>
      </c>
      <c r="B178" s="12" t="inlineStr">
        <is>
          <t>A.1.4.7</t>
        </is>
      </c>
      <c r="C178" s="13" t="inlineStr">
        <is>
          <t>Temporary files</t>
        </is>
      </c>
      <c r="D178" s="13" t="inlineStr">
        <is>
          <t>PIMS Controller Controls</t>
        </is>
      </c>
    </row>
    <row r="179" ht="20" customHeight="1">
      <c r="A179" s="12" t="inlineStr">
        <is>
          <t>ISO 27701</t>
        </is>
      </c>
      <c r="B179" s="12" t="inlineStr">
        <is>
          <t>A.1.4.8</t>
        </is>
      </c>
      <c r="C179" s="13" t="inlineStr">
        <is>
          <t>Retention</t>
        </is>
      </c>
      <c r="D179" s="13" t="inlineStr">
        <is>
          <t>PIMS Controller Controls</t>
        </is>
      </c>
    </row>
    <row r="180" ht="20" customHeight="1">
      <c r="A180" s="12" t="inlineStr">
        <is>
          <t>ISO 27701</t>
        </is>
      </c>
      <c r="B180" s="12" t="inlineStr">
        <is>
          <t>A.1.4.9</t>
        </is>
      </c>
      <c r="C180" s="13" t="inlineStr">
        <is>
          <t>Disposal</t>
        </is>
      </c>
      <c r="D180" s="13" t="inlineStr">
        <is>
          <t>PIMS Controller Controls</t>
        </is>
      </c>
    </row>
    <row r="181" ht="20" customHeight="1">
      <c r="A181" s="12" t="inlineStr">
        <is>
          <t>ISO 27701</t>
        </is>
      </c>
      <c r="B181" s="12" t="inlineStr">
        <is>
          <t>A.1.4.10</t>
        </is>
      </c>
      <c r="C181" s="13" t="inlineStr">
        <is>
          <t>PII transmission controls</t>
        </is>
      </c>
      <c r="D181" s="13" t="inlineStr">
        <is>
          <t>PIMS Controller Controls</t>
        </is>
      </c>
    </row>
    <row r="182" ht="20" customHeight="1">
      <c r="A182" s="12" t="inlineStr">
        <is>
          <t>ISO 27701</t>
        </is>
      </c>
      <c r="B182" s="12" t="inlineStr">
        <is>
          <t>A.1.5.2</t>
        </is>
      </c>
      <c r="C182" s="13" t="inlineStr">
        <is>
          <t>Identify basis for PII transfer between jurisdictions</t>
        </is>
      </c>
      <c r="D182" s="13" t="inlineStr">
        <is>
          <t>PIMS Controller Controls</t>
        </is>
      </c>
    </row>
    <row r="183" ht="20" customHeight="1">
      <c r="A183" s="12" t="inlineStr">
        <is>
          <t>ISO 27701</t>
        </is>
      </c>
      <c r="B183" s="12" t="inlineStr">
        <is>
          <t>A.1.5.3</t>
        </is>
      </c>
      <c r="C183" s="13" t="inlineStr">
        <is>
          <t>Countries and international organizations to which PII can be transferred</t>
        </is>
      </c>
      <c r="D183" s="13" t="inlineStr">
        <is>
          <t>PIMS Controller Controls</t>
        </is>
      </c>
    </row>
    <row r="184" ht="20" customHeight="1">
      <c r="A184" s="12" t="inlineStr">
        <is>
          <t>ISO 27701</t>
        </is>
      </c>
      <c r="B184" s="12" t="inlineStr">
        <is>
          <t>A.1.5.4</t>
        </is>
      </c>
      <c r="C184" s="13" t="inlineStr">
        <is>
          <t>Records of transfer of PII</t>
        </is>
      </c>
      <c r="D184" s="13" t="inlineStr">
        <is>
          <t>PIMS Controller Controls</t>
        </is>
      </c>
    </row>
    <row r="185" ht="20" customHeight="1">
      <c r="A185" s="12" t="inlineStr">
        <is>
          <t>ISO 27701</t>
        </is>
      </c>
      <c r="B185" s="12" t="inlineStr">
        <is>
          <t>A.1.5.5</t>
        </is>
      </c>
      <c r="C185" s="13" t="inlineStr">
        <is>
          <t>Records of PII disclosures to third parties</t>
        </is>
      </c>
      <c r="D185" s="13" t="inlineStr">
        <is>
          <t>PIMS Controller Controls</t>
        </is>
      </c>
    </row>
    <row r="186" ht="20" customHeight="1">
      <c r="A186" s="12" t="inlineStr">
        <is>
          <t>ISO 27701</t>
        </is>
      </c>
      <c r="B186" s="12" t="inlineStr">
        <is>
          <t>A.2.2.2</t>
        </is>
      </c>
      <c r="C186" s="13" t="inlineStr">
        <is>
          <t>Customer agreement</t>
        </is>
      </c>
      <c r="D186" s="13" t="inlineStr">
        <is>
          <t>PIMS Processor Controls</t>
        </is>
      </c>
    </row>
    <row r="187" ht="20" customHeight="1">
      <c r="A187" s="12" t="inlineStr">
        <is>
          <t>ISO 27701</t>
        </is>
      </c>
      <c r="B187" s="12" t="inlineStr">
        <is>
          <t>A.2.2.3</t>
        </is>
      </c>
      <c r="C187" s="13" t="inlineStr">
        <is>
          <t>Organization's purposes</t>
        </is>
      </c>
      <c r="D187" s="13" t="inlineStr">
        <is>
          <t>PIMS Processor Controls</t>
        </is>
      </c>
    </row>
    <row r="188" ht="20" customHeight="1">
      <c r="A188" s="12" t="inlineStr">
        <is>
          <t>ISO 27701</t>
        </is>
      </c>
      <c r="B188" s="12" t="inlineStr">
        <is>
          <t>A.2.2.4</t>
        </is>
      </c>
      <c r="C188" s="13" t="inlineStr">
        <is>
          <t>Marketing and advertising use</t>
        </is>
      </c>
      <c r="D188" s="13" t="inlineStr">
        <is>
          <t>PIMS Processor Controls</t>
        </is>
      </c>
    </row>
    <row r="189" ht="20" customHeight="1">
      <c r="A189" s="12" t="inlineStr">
        <is>
          <t>ISO 27701</t>
        </is>
      </c>
      <c r="B189" s="12" t="inlineStr">
        <is>
          <t>A.2.2.5</t>
        </is>
      </c>
      <c r="C189" s="13" t="inlineStr">
        <is>
          <t>Infringing instruction</t>
        </is>
      </c>
      <c r="D189" s="13" t="inlineStr">
        <is>
          <t>PIMS Processor Controls</t>
        </is>
      </c>
    </row>
    <row r="190" ht="20" customHeight="1">
      <c r="A190" s="12" t="inlineStr">
        <is>
          <t>ISO 27701</t>
        </is>
      </c>
      <c r="B190" s="12" t="inlineStr">
        <is>
          <t>A.2.2.6</t>
        </is>
      </c>
      <c r="C190" s="13" t="inlineStr">
        <is>
          <t>Customer obligations</t>
        </is>
      </c>
      <c r="D190" s="13" t="inlineStr">
        <is>
          <t>PIMS Processor Controls</t>
        </is>
      </c>
    </row>
    <row r="191" ht="20" customHeight="1">
      <c r="A191" s="12" t="inlineStr">
        <is>
          <t>ISO 27701</t>
        </is>
      </c>
      <c r="B191" s="12" t="inlineStr">
        <is>
          <t>A.2.2.7</t>
        </is>
      </c>
      <c r="C191" s="13" t="inlineStr">
        <is>
          <t>Records related to processing PII</t>
        </is>
      </c>
      <c r="D191" s="13" t="inlineStr">
        <is>
          <t>PIMS Processor Controls</t>
        </is>
      </c>
    </row>
    <row r="192" ht="20" customHeight="1">
      <c r="A192" s="12" t="inlineStr">
        <is>
          <t>ISO 27701</t>
        </is>
      </c>
      <c r="B192" s="12" t="inlineStr">
        <is>
          <t>A.2.3.2</t>
        </is>
      </c>
      <c r="C192" s="13" t="inlineStr">
        <is>
          <t>Comply with obligations to PII principals</t>
        </is>
      </c>
      <c r="D192" s="13" t="inlineStr">
        <is>
          <t>PIMS Processor Controls</t>
        </is>
      </c>
    </row>
    <row r="193" ht="20" customHeight="1">
      <c r="A193" s="12" t="inlineStr">
        <is>
          <t>ISO 27701</t>
        </is>
      </c>
      <c r="B193" s="12" t="inlineStr">
        <is>
          <t>A.2.4.2</t>
        </is>
      </c>
      <c r="C193" s="13" t="inlineStr">
        <is>
          <t>Temporary files</t>
        </is>
      </c>
      <c r="D193" s="13" t="inlineStr">
        <is>
          <t>PIMS Processor Controls</t>
        </is>
      </c>
    </row>
    <row r="194" ht="20" customHeight="1">
      <c r="A194" s="12" t="inlineStr">
        <is>
          <t>ISO 27701</t>
        </is>
      </c>
      <c r="B194" s="12" t="inlineStr">
        <is>
          <t>A.2.4.3</t>
        </is>
      </c>
      <c r="C194" s="13" t="inlineStr">
        <is>
          <t>Return, transfer or disposal of PII</t>
        </is>
      </c>
      <c r="D194" s="13" t="inlineStr">
        <is>
          <t>PIMS Processor Controls</t>
        </is>
      </c>
    </row>
    <row r="195" ht="20" customHeight="1">
      <c r="A195" s="12" t="inlineStr">
        <is>
          <t>ISO 27701</t>
        </is>
      </c>
      <c r="B195" s="12" t="inlineStr">
        <is>
          <t>A.2.4.4</t>
        </is>
      </c>
      <c r="C195" s="13" t="inlineStr">
        <is>
          <t>PII transmission controls</t>
        </is>
      </c>
      <c r="D195" s="13" t="inlineStr">
        <is>
          <t>PIMS Processor Controls</t>
        </is>
      </c>
    </row>
    <row r="196" ht="20" customHeight="1">
      <c r="A196" s="12" t="inlineStr">
        <is>
          <t>ISO 27701</t>
        </is>
      </c>
      <c r="B196" s="12" t="inlineStr">
        <is>
          <t>A.2.5.2</t>
        </is>
      </c>
      <c r="C196" s="13" t="inlineStr">
        <is>
          <t>Basis for PII transfer between jurisdictions</t>
        </is>
      </c>
      <c r="D196" s="13" t="inlineStr">
        <is>
          <t>PIMS Processor Controls</t>
        </is>
      </c>
    </row>
    <row r="197" ht="20" customHeight="1">
      <c r="A197" s="12" t="inlineStr">
        <is>
          <t>ISO 27701</t>
        </is>
      </c>
      <c r="B197" s="12" t="inlineStr">
        <is>
          <t>A.2.5.3</t>
        </is>
      </c>
      <c r="C197" s="13" t="inlineStr">
        <is>
          <t>Countries and international organizations to which PII can be transferred</t>
        </is>
      </c>
      <c r="D197" s="13" t="inlineStr">
        <is>
          <t>PIMS Processor Controls</t>
        </is>
      </c>
    </row>
    <row r="198" ht="20" customHeight="1">
      <c r="A198" s="12" t="inlineStr">
        <is>
          <t>ISO 27701</t>
        </is>
      </c>
      <c r="B198" s="12" t="inlineStr">
        <is>
          <t>A.2.5.4</t>
        </is>
      </c>
      <c r="C198" s="13" t="inlineStr">
        <is>
          <t>Records of PII disclosures to third parties</t>
        </is>
      </c>
      <c r="D198" s="13" t="inlineStr">
        <is>
          <t>PIMS Processor Controls</t>
        </is>
      </c>
    </row>
    <row r="199" ht="20" customHeight="1">
      <c r="A199" s="12" t="inlineStr">
        <is>
          <t>ISO 27701</t>
        </is>
      </c>
      <c r="B199" s="12" t="inlineStr">
        <is>
          <t>A.2.5.5</t>
        </is>
      </c>
      <c r="C199" s="13" t="inlineStr">
        <is>
          <t>Notification of PII disclosure requests</t>
        </is>
      </c>
      <c r="D199" s="13" t="inlineStr">
        <is>
          <t>PIMS Processor Controls</t>
        </is>
      </c>
    </row>
    <row r="200" ht="20" customHeight="1">
      <c r="A200" s="12" t="inlineStr">
        <is>
          <t>ISO 27701</t>
        </is>
      </c>
      <c r="B200" s="12" t="inlineStr">
        <is>
          <t>A.2.5.6</t>
        </is>
      </c>
      <c r="C200" s="13" t="inlineStr">
        <is>
          <t>Legally binding PII disclosures</t>
        </is>
      </c>
      <c r="D200" s="13" t="inlineStr">
        <is>
          <t>PIMS Processor Controls</t>
        </is>
      </c>
    </row>
    <row r="201" ht="20" customHeight="1">
      <c r="A201" s="12" t="inlineStr">
        <is>
          <t>ISO 27701</t>
        </is>
      </c>
      <c r="B201" s="12" t="inlineStr">
        <is>
          <t>A.2.5.7</t>
        </is>
      </c>
      <c r="C201" s="13" t="inlineStr">
        <is>
          <t>Disclosure of subcontractors used to process PII</t>
        </is>
      </c>
      <c r="D201" s="13" t="inlineStr">
        <is>
          <t>PIMS Processor Controls</t>
        </is>
      </c>
    </row>
    <row r="202" ht="20" customHeight="1">
      <c r="A202" s="12" t="inlineStr">
        <is>
          <t>ISO 27701</t>
        </is>
      </c>
      <c r="B202" s="12" t="inlineStr">
        <is>
          <t>A.2.5.8</t>
        </is>
      </c>
      <c r="C202" s="13" t="inlineStr">
        <is>
          <t>Engagement of a subcontractor to process PII</t>
        </is>
      </c>
      <c r="D202" s="13" t="inlineStr">
        <is>
          <t>PIMS Processor Controls</t>
        </is>
      </c>
    </row>
    <row r="203" ht="20" customHeight="1">
      <c r="A203" s="12" t="inlineStr">
        <is>
          <t>ISO 27701</t>
        </is>
      </c>
      <c r="B203" s="12" t="inlineStr">
        <is>
          <t>A.2.5.9</t>
        </is>
      </c>
      <c r="C203" s="13" t="inlineStr">
        <is>
          <t>Change of subcontractor to process PII</t>
        </is>
      </c>
      <c r="D203" s="13" t="inlineStr">
        <is>
          <t>PIMS Processor Controls</t>
        </is>
      </c>
    </row>
    <row r="204" ht="20" customHeight="1">
      <c r="A204" s="12" t="inlineStr">
        <is>
          <t>ISO 27701</t>
        </is>
      </c>
      <c r="B204" s="12" t="inlineStr">
        <is>
          <t>A.3.3</t>
        </is>
      </c>
      <c r="C204" s="13" t="inlineStr">
        <is>
          <t>Policies for information security</t>
        </is>
      </c>
      <c r="D204" s="13" t="inlineStr">
        <is>
          <t>Security Considerations for PII Controllers and Processors</t>
        </is>
      </c>
    </row>
    <row r="205" ht="20" customHeight="1">
      <c r="A205" s="12" t="inlineStr">
        <is>
          <t>ISO 27701</t>
        </is>
      </c>
      <c r="B205" s="12" t="inlineStr">
        <is>
          <t>A.3.4</t>
        </is>
      </c>
      <c r="C205" s="13" t="inlineStr">
        <is>
          <t>Information security roles and responsibilities</t>
        </is>
      </c>
      <c r="D205" s="13" t="inlineStr">
        <is>
          <t>Security Considerations for PII Controllers and Processors</t>
        </is>
      </c>
    </row>
    <row r="206" ht="20" customHeight="1">
      <c r="A206" s="12" t="inlineStr">
        <is>
          <t>ISO 27701</t>
        </is>
      </c>
      <c r="B206" s="12" t="inlineStr">
        <is>
          <t>A.3.5</t>
        </is>
      </c>
      <c r="C206" s="13" t="inlineStr">
        <is>
          <t>Classification of information</t>
        </is>
      </c>
      <c r="D206" s="13" t="inlineStr">
        <is>
          <t>Security Considerations for PII Controllers and Processors</t>
        </is>
      </c>
    </row>
    <row r="207" ht="20" customHeight="1">
      <c r="A207" s="12" t="inlineStr">
        <is>
          <t>ISO 27701</t>
        </is>
      </c>
      <c r="B207" s="12" t="inlineStr">
        <is>
          <t>A.3.6</t>
        </is>
      </c>
      <c r="C207" s="13" t="inlineStr">
        <is>
          <t>Labelling of information</t>
        </is>
      </c>
      <c r="D207" s="13" t="inlineStr">
        <is>
          <t>Security Considerations for PII Controllers and Processors</t>
        </is>
      </c>
    </row>
    <row r="208" ht="20" customHeight="1">
      <c r="A208" s="12" t="inlineStr">
        <is>
          <t>ISO 27701</t>
        </is>
      </c>
      <c r="B208" s="12" t="inlineStr">
        <is>
          <t>A.3.7</t>
        </is>
      </c>
      <c r="C208" s="13" t="inlineStr">
        <is>
          <t>Information transfer</t>
        </is>
      </c>
      <c r="D208" s="13" t="inlineStr">
        <is>
          <t>Security Considerations for PII Controllers and Processors</t>
        </is>
      </c>
    </row>
    <row r="209" ht="20" customHeight="1">
      <c r="A209" s="12" t="inlineStr">
        <is>
          <t>ISO 27701</t>
        </is>
      </c>
      <c r="B209" s="12" t="inlineStr">
        <is>
          <t>A.3.8</t>
        </is>
      </c>
      <c r="C209" s="13" t="inlineStr">
        <is>
          <t>Identity management</t>
        </is>
      </c>
      <c r="D209" s="13" t="inlineStr">
        <is>
          <t>Security Considerations for PII Controllers and Processors</t>
        </is>
      </c>
    </row>
    <row r="210" ht="20" customHeight="1">
      <c r="A210" s="12" t="inlineStr">
        <is>
          <t>ISO 27701</t>
        </is>
      </c>
      <c r="B210" s="12" t="inlineStr">
        <is>
          <t>A.3.9</t>
        </is>
      </c>
      <c r="C210" s="13" t="inlineStr">
        <is>
          <t>Access rights</t>
        </is>
      </c>
      <c r="D210" s="13" t="inlineStr">
        <is>
          <t>Security Considerations for PII Controllers and Processors</t>
        </is>
      </c>
    </row>
    <row r="211" ht="20" customHeight="1">
      <c r="A211" s="12" t="inlineStr">
        <is>
          <t>ISO 27701</t>
        </is>
      </c>
      <c r="B211" s="12" t="inlineStr">
        <is>
          <t>A.3.10</t>
        </is>
      </c>
      <c r="C211" s="13" t="inlineStr">
        <is>
          <t>Addressing information security within supplier agreements</t>
        </is>
      </c>
      <c r="D211" s="13" t="inlineStr">
        <is>
          <t>Security Considerations for PII Controllers and Processors</t>
        </is>
      </c>
    </row>
    <row r="212" ht="20" customHeight="1">
      <c r="A212" s="12" t="inlineStr">
        <is>
          <t>ISO 27701</t>
        </is>
      </c>
      <c r="B212" s="12" t="inlineStr">
        <is>
          <t>A.3.11</t>
        </is>
      </c>
      <c r="C212" s="13" t="inlineStr">
        <is>
          <t>Information security incident management planning and preparation</t>
        </is>
      </c>
      <c r="D212" s="13" t="inlineStr">
        <is>
          <t>Security Considerations for PII Controllers and Processors</t>
        </is>
      </c>
    </row>
    <row r="213" ht="20" customHeight="1">
      <c r="A213" s="12" t="inlineStr">
        <is>
          <t>ISO 27701</t>
        </is>
      </c>
      <c r="B213" s="12" t="inlineStr">
        <is>
          <t>A.3.12</t>
        </is>
      </c>
      <c r="C213" s="13" t="inlineStr">
        <is>
          <t>Response to information security incidents</t>
        </is>
      </c>
      <c r="D213" s="13" t="inlineStr">
        <is>
          <t>Security Considerations for PII Controllers and Processors</t>
        </is>
      </c>
    </row>
    <row r="214" ht="20" customHeight="1">
      <c r="A214" s="12" t="inlineStr">
        <is>
          <t>ISO 27701</t>
        </is>
      </c>
      <c r="B214" s="12" t="inlineStr">
        <is>
          <t>A.3.13</t>
        </is>
      </c>
      <c r="C214" s="13" t="inlineStr">
        <is>
          <t>Legal, statutory, regulatory and contractual requirements</t>
        </is>
      </c>
      <c r="D214" s="13" t="inlineStr">
        <is>
          <t>Security Considerations for PII Controllers and Processors</t>
        </is>
      </c>
    </row>
    <row r="215" ht="20" customHeight="1">
      <c r="A215" s="12" t="inlineStr">
        <is>
          <t>ISO 27701</t>
        </is>
      </c>
      <c r="B215" s="12" t="inlineStr">
        <is>
          <t>A.3.14</t>
        </is>
      </c>
      <c r="C215" s="13" t="inlineStr">
        <is>
          <t>Protection of records</t>
        </is>
      </c>
      <c r="D215" s="13" t="inlineStr">
        <is>
          <t>Security Considerations for PII Controllers and Processors</t>
        </is>
      </c>
    </row>
    <row r="216" ht="20" customHeight="1">
      <c r="A216" s="12" t="inlineStr">
        <is>
          <t>ISO 27701</t>
        </is>
      </c>
      <c r="B216" s="12" t="inlineStr">
        <is>
          <t>A.3.15</t>
        </is>
      </c>
      <c r="C216" s="13" t="inlineStr">
        <is>
          <t>Independent review of information security</t>
        </is>
      </c>
      <c r="D216" s="13" t="inlineStr">
        <is>
          <t>Security Considerations for PII Controllers and Processors</t>
        </is>
      </c>
    </row>
    <row r="217" ht="20" customHeight="1">
      <c r="A217" s="12" t="inlineStr">
        <is>
          <t>ISO 27701</t>
        </is>
      </c>
      <c r="B217" s="12" t="inlineStr">
        <is>
          <t>A.3.16</t>
        </is>
      </c>
      <c r="C217" s="13" t="inlineStr">
        <is>
          <t>Compliance with policies, rules and standards for information security</t>
        </is>
      </c>
      <c r="D217" s="13" t="inlineStr">
        <is>
          <t>Security Considerations for PII Controllers and Processors</t>
        </is>
      </c>
    </row>
    <row r="218" ht="20" customHeight="1">
      <c r="A218" s="12" t="inlineStr">
        <is>
          <t>ISO 27701</t>
        </is>
      </c>
      <c r="B218" s="12" t="inlineStr">
        <is>
          <t>A.3.17</t>
        </is>
      </c>
      <c r="C218" s="13" t="inlineStr">
        <is>
          <t>Information security awareness, education and training</t>
        </is>
      </c>
      <c r="D218" s="13" t="inlineStr">
        <is>
          <t>Security Considerations for PII Controllers and Processors</t>
        </is>
      </c>
    </row>
    <row r="219" ht="20" customHeight="1">
      <c r="A219" s="12" t="inlineStr">
        <is>
          <t>ISO 27701</t>
        </is>
      </c>
      <c r="B219" s="12" t="inlineStr">
        <is>
          <t>A.3.18</t>
        </is>
      </c>
      <c r="C219" s="13" t="inlineStr">
        <is>
          <t>Confidentiality or non-disclosure agreements</t>
        </is>
      </c>
      <c r="D219" s="13" t="inlineStr">
        <is>
          <t>Security Considerations for PII Controllers and Processors</t>
        </is>
      </c>
    </row>
    <row r="220" ht="20" customHeight="1">
      <c r="A220" s="12" t="inlineStr">
        <is>
          <t>ISO 27701</t>
        </is>
      </c>
      <c r="B220" s="12" t="inlineStr">
        <is>
          <t>A.3.19</t>
        </is>
      </c>
      <c r="C220" s="13" t="inlineStr">
        <is>
          <t>Clear desk and clear screen</t>
        </is>
      </c>
      <c r="D220" s="13" t="inlineStr">
        <is>
          <t>Security Considerations for PII Controllers and Processors</t>
        </is>
      </c>
    </row>
    <row r="221" ht="20" customHeight="1">
      <c r="A221" s="12" t="inlineStr">
        <is>
          <t>ISO 27701</t>
        </is>
      </c>
      <c r="B221" s="12" t="inlineStr">
        <is>
          <t>A.3.20</t>
        </is>
      </c>
      <c r="C221" s="13" t="inlineStr">
        <is>
          <t>Storage media</t>
        </is>
      </c>
      <c r="D221" s="13" t="inlineStr">
        <is>
          <t>Security Considerations for PII Controllers and Processors</t>
        </is>
      </c>
    </row>
    <row r="222" ht="20" customHeight="1">
      <c r="A222" s="12" t="inlineStr">
        <is>
          <t>ISO 27701</t>
        </is>
      </c>
      <c r="B222" s="12" t="inlineStr">
        <is>
          <t>A.3.21</t>
        </is>
      </c>
      <c r="C222" s="13" t="inlineStr">
        <is>
          <t>Secure disposal or re-use of equipment</t>
        </is>
      </c>
      <c r="D222" s="13" t="inlineStr">
        <is>
          <t>Security Considerations for PII Controllers and Processors</t>
        </is>
      </c>
    </row>
    <row r="223" ht="20" customHeight="1">
      <c r="A223" s="12" t="inlineStr">
        <is>
          <t>ISO 27701</t>
        </is>
      </c>
      <c r="B223" s="12" t="inlineStr">
        <is>
          <t>A.3.22</t>
        </is>
      </c>
      <c r="C223" s="13" t="inlineStr">
        <is>
          <t>User endpoint devices</t>
        </is>
      </c>
      <c r="D223" s="13" t="inlineStr">
        <is>
          <t>Security Considerations for PII Controllers and Processors</t>
        </is>
      </c>
    </row>
    <row r="224" ht="20" customHeight="1">
      <c r="A224" s="12" t="inlineStr">
        <is>
          <t>ISO 27701</t>
        </is>
      </c>
      <c r="B224" s="12" t="inlineStr">
        <is>
          <t>A.3.23</t>
        </is>
      </c>
      <c r="C224" s="13" t="inlineStr">
        <is>
          <t>Secure authentication</t>
        </is>
      </c>
      <c r="D224" s="13" t="inlineStr">
        <is>
          <t>Security Considerations for PII Controllers and Processors</t>
        </is>
      </c>
    </row>
    <row r="225" ht="20" customHeight="1">
      <c r="A225" s="12" t="inlineStr">
        <is>
          <t>ISO 27701</t>
        </is>
      </c>
      <c r="B225" s="12" t="inlineStr">
        <is>
          <t>A.3.24</t>
        </is>
      </c>
      <c r="C225" s="13" t="inlineStr">
        <is>
          <t>Information backup</t>
        </is>
      </c>
      <c r="D225" s="13" t="inlineStr">
        <is>
          <t>Security Considerations for PII Controllers and Processors</t>
        </is>
      </c>
    </row>
    <row r="226" ht="20" customHeight="1">
      <c r="A226" s="12" t="inlineStr">
        <is>
          <t>ISO 27701</t>
        </is>
      </c>
      <c r="B226" s="12" t="inlineStr">
        <is>
          <t>A.3.25</t>
        </is>
      </c>
      <c r="C226" s="13" t="inlineStr">
        <is>
          <t>Logging</t>
        </is>
      </c>
      <c r="D226" s="13" t="inlineStr">
        <is>
          <t>Security Considerations for PII Controllers and Processors</t>
        </is>
      </c>
    </row>
    <row r="227" ht="20" customHeight="1">
      <c r="A227" s="12" t="inlineStr">
        <is>
          <t>ISO 27701</t>
        </is>
      </c>
      <c r="B227" s="12" t="inlineStr">
        <is>
          <t>A.3.26</t>
        </is>
      </c>
      <c r="C227" s="13" t="inlineStr">
        <is>
          <t>Use of cryptography</t>
        </is>
      </c>
      <c r="D227" s="13" t="inlineStr">
        <is>
          <t>Security Considerations for PII Controllers and Processors</t>
        </is>
      </c>
    </row>
    <row r="228" ht="20" customHeight="1">
      <c r="A228" s="12" t="inlineStr">
        <is>
          <t>ISO 27701</t>
        </is>
      </c>
      <c r="B228" s="12" t="inlineStr">
        <is>
          <t>A.3.27</t>
        </is>
      </c>
      <c r="C228" s="13" t="inlineStr">
        <is>
          <t>Secure development life cycle</t>
        </is>
      </c>
      <c r="D228" s="13" t="inlineStr">
        <is>
          <t>Security Considerations for PII Controllers and Processors</t>
        </is>
      </c>
    </row>
    <row r="229" ht="20" customHeight="1">
      <c r="A229" s="12" t="inlineStr">
        <is>
          <t>ISO 27701</t>
        </is>
      </c>
      <c r="B229" s="12" t="inlineStr">
        <is>
          <t>A.3.28</t>
        </is>
      </c>
      <c r="C229" s="13" t="inlineStr">
        <is>
          <t>Application security requirements</t>
        </is>
      </c>
      <c r="D229" s="13" t="inlineStr">
        <is>
          <t>Security Considerations for PII Controllers and Processors</t>
        </is>
      </c>
    </row>
    <row r="230" ht="20" customHeight="1">
      <c r="A230" s="12" t="inlineStr">
        <is>
          <t>ISO 27701</t>
        </is>
      </c>
      <c r="B230" s="12" t="inlineStr">
        <is>
          <t>A.3.29</t>
        </is>
      </c>
      <c r="C230" s="13" t="inlineStr">
        <is>
          <t>Secure system architecture and engineering principles</t>
        </is>
      </c>
      <c r="D230" s="13" t="inlineStr">
        <is>
          <t>Security Considerations for PII Controllers and Processors</t>
        </is>
      </c>
    </row>
    <row r="231" ht="20" customHeight="1">
      <c r="A231" s="12" t="inlineStr">
        <is>
          <t>ISO 27701</t>
        </is>
      </c>
      <c r="B231" s="12" t="inlineStr">
        <is>
          <t>A.3.30</t>
        </is>
      </c>
      <c r="C231" s="13" t="inlineStr">
        <is>
          <t>Outsourced development</t>
        </is>
      </c>
      <c r="D231" s="13" t="inlineStr">
        <is>
          <t>Security Considerations for PII Controllers and Processors</t>
        </is>
      </c>
    </row>
    <row r="232" ht="20" customHeight="1">
      <c r="A232" s="12" t="inlineStr">
        <is>
          <t>ISO 27701</t>
        </is>
      </c>
      <c r="B232" s="12" t="inlineStr">
        <is>
          <t>A.3.31</t>
        </is>
      </c>
      <c r="C232" s="13" t="inlineStr">
        <is>
          <t>Test information</t>
        </is>
      </c>
      <c r="D232" s="13" t="inlineStr">
        <is>
          <t>Security Considerations for PII Controllers and Processors</t>
        </is>
      </c>
    </row>
    <row r="233" ht="20" customHeight="1">
      <c r="A233" s="12" t="inlineStr">
        <is>
          <t>ISO 42001</t>
        </is>
      </c>
      <c r="B233" s="12" t="inlineStr">
        <is>
          <t>4.1</t>
        </is>
      </c>
      <c r="C233" s="13" t="inlineStr">
        <is>
          <t>Understanding the organization and its context</t>
        </is>
      </c>
      <c r="D233" s="13" t="inlineStr">
        <is>
          <t>AIMS Core</t>
        </is>
      </c>
    </row>
    <row r="234" ht="20" customHeight="1">
      <c r="A234" s="12" t="inlineStr">
        <is>
          <t>ISO 42001</t>
        </is>
      </c>
      <c r="B234" s="12" t="inlineStr">
        <is>
          <t>4.2</t>
        </is>
      </c>
      <c r="C234" s="13" t="inlineStr">
        <is>
          <t>Understanding the needs and expectations of interested parties</t>
        </is>
      </c>
      <c r="D234" s="13" t="inlineStr">
        <is>
          <t>AIMS Core</t>
        </is>
      </c>
    </row>
    <row r="235" ht="20" customHeight="1">
      <c r="A235" s="12" t="inlineStr">
        <is>
          <t>ISO 42001</t>
        </is>
      </c>
      <c r="B235" s="12" t="inlineStr">
        <is>
          <t>4.3</t>
        </is>
      </c>
      <c r="C235" s="13" t="inlineStr">
        <is>
          <t>Determining the scope of the AI management system</t>
        </is>
      </c>
      <c r="D235" s="13" t="inlineStr">
        <is>
          <t>AIMS Core</t>
        </is>
      </c>
    </row>
    <row r="236" ht="20" customHeight="1">
      <c r="A236" s="12" t="inlineStr">
        <is>
          <t>ISO 42001</t>
        </is>
      </c>
      <c r="B236" s="12" t="inlineStr">
        <is>
          <t>4.4</t>
        </is>
      </c>
      <c r="C236" s="13" t="inlineStr">
        <is>
          <t>AI management system</t>
        </is>
      </c>
      <c r="D236" s="13" t="inlineStr">
        <is>
          <t>AIMS Core</t>
        </is>
      </c>
    </row>
    <row r="237" ht="20" customHeight="1">
      <c r="A237" s="12" t="inlineStr">
        <is>
          <t>ISO 42001</t>
        </is>
      </c>
      <c r="B237" s="12" t="inlineStr">
        <is>
          <t>5.1</t>
        </is>
      </c>
      <c r="C237" s="13" t="inlineStr">
        <is>
          <t>Leadership and commitment</t>
        </is>
      </c>
      <c r="D237" s="13" t="inlineStr">
        <is>
          <t>AIMS Core</t>
        </is>
      </c>
    </row>
    <row r="238" ht="20" customHeight="1">
      <c r="A238" s="12" t="inlineStr">
        <is>
          <t>ISO 42001</t>
        </is>
      </c>
      <c r="B238" s="12" t="inlineStr">
        <is>
          <t>5.2</t>
        </is>
      </c>
      <c r="C238" s="13" t="inlineStr">
        <is>
          <t>AI policy</t>
        </is>
      </c>
      <c r="D238" s="13" t="inlineStr">
        <is>
          <t>AIMS Core</t>
        </is>
      </c>
    </row>
    <row r="239" ht="20" customHeight="1">
      <c r="A239" s="12" t="inlineStr">
        <is>
          <t>ISO 42001</t>
        </is>
      </c>
      <c r="B239" s="12" t="inlineStr">
        <is>
          <t>5.3</t>
        </is>
      </c>
      <c r="C239" s="13" t="inlineStr">
        <is>
          <t>Roles, responsibilities and authorities</t>
        </is>
      </c>
      <c r="D239" s="13" t="inlineStr">
        <is>
          <t>AIMS Core</t>
        </is>
      </c>
    </row>
    <row r="240" ht="20" customHeight="1">
      <c r="A240" s="12" t="inlineStr">
        <is>
          <t>ISO 42001</t>
        </is>
      </c>
      <c r="B240" s="12" t="inlineStr">
        <is>
          <t>6.1.1</t>
        </is>
      </c>
      <c r="C240" s="13" t="inlineStr">
        <is>
          <t>General</t>
        </is>
      </c>
      <c r="D240" s="13" t="inlineStr">
        <is>
          <t>AIMS Core</t>
        </is>
      </c>
    </row>
    <row r="241" ht="20" customHeight="1">
      <c r="A241" s="12" t="inlineStr">
        <is>
          <t>ISO 42001</t>
        </is>
      </c>
      <c r="B241" s="12" t="inlineStr">
        <is>
          <t>6.1.2</t>
        </is>
      </c>
      <c r="C241" s="13" t="inlineStr">
        <is>
          <t>AI risk assessment</t>
        </is>
      </c>
      <c r="D241" s="13" t="inlineStr">
        <is>
          <t>AIMS Core</t>
        </is>
      </c>
    </row>
    <row r="242" ht="20" customHeight="1">
      <c r="A242" s="12" t="inlineStr">
        <is>
          <t>ISO 42001</t>
        </is>
      </c>
      <c r="B242" s="12" t="inlineStr">
        <is>
          <t>6.1.3</t>
        </is>
      </c>
      <c r="C242" s="13" t="inlineStr">
        <is>
          <t>AI risk treatment</t>
        </is>
      </c>
      <c r="D242" s="13" t="inlineStr">
        <is>
          <t>AIMS Core</t>
        </is>
      </c>
    </row>
    <row r="243" ht="20" customHeight="1">
      <c r="A243" s="12" t="inlineStr">
        <is>
          <t>ISO 42001</t>
        </is>
      </c>
      <c r="B243" s="12" t="inlineStr">
        <is>
          <t>6.1.4</t>
        </is>
      </c>
      <c r="C243" s="13" t="inlineStr">
        <is>
          <t>AI system impact assessment</t>
        </is>
      </c>
      <c r="D243" s="13" t="inlineStr">
        <is>
          <t>AIMS Core</t>
        </is>
      </c>
    </row>
    <row r="244" ht="20" customHeight="1">
      <c r="A244" s="12" t="inlineStr">
        <is>
          <t>ISO 42001</t>
        </is>
      </c>
      <c r="B244" s="12" t="inlineStr">
        <is>
          <t>6.2</t>
        </is>
      </c>
      <c r="C244" s="13" t="inlineStr">
        <is>
          <t>AI objectives and planning to achieve them</t>
        </is>
      </c>
      <c r="D244" s="13" t="inlineStr">
        <is>
          <t>AIMS Core</t>
        </is>
      </c>
    </row>
    <row r="245" ht="20" customHeight="1">
      <c r="A245" s="12" t="inlineStr">
        <is>
          <t>ISO 42001</t>
        </is>
      </c>
      <c r="B245" s="12" t="inlineStr">
        <is>
          <t>6.3</t>
        </is>
      </c>
      <c r="C245" s="13" t="inlineStr">
        <is>
          <t>Planning of changes</t>
        </is>
      </c>
      <c r="D245" s="13" t="inlineStr">
        <is>
          <t>AIMS Core</t>
        </is>
      </c>
    </row>
    <row r="246" ht="20" customHeight="1">
      <c r="A246" s="12" t="inlineStr">
        <is>
          <t>ISO 42001</t>
        </is>
      </c>
      <c r="B246" s="12" t="inlineStr">
        <is>
          <t>7.1</t>
        </is>
      </c>
      <c r="C246" s="13" t="inlineStr">
        <is>
          <t>Resources</t>
        </is>
      </c>
      <c r="D246" s="13" t="inlineStr">
        <is>
          <t>AIMS Core</t>
        </is>
      </c>
    </row>
    <row r="247" ht="20" customHeight="1">
      <c r="A247" s="12" t="inlineStr">
        <is>
          <t>ISO 42001</t>
        </is>
      </c>
      <c r="B247" s="12" t="inlineStr">
        <is>
          <t>7.2</t>
        </is>
      </c>
      <c r="C247" s="13" t="inlineStr">
        <is>
          <t>Competence</t>
        </is>
      </c>
      <c r="D247" s="13" t="inlineStr">
        <is>
          <t>AIMS Core</t>
        </is>
      </c>
    </row>
    <row r="248" ht="20" customHeight="1">
      <c r="A248" s="12" t="inlineStr">
        <is>
          <t>ISO 42001</t>
        </is>
      </c>
      <c r="B248" s="12" t="inlineStr">
        <is>
          <t>7.3</t>
        </is>
      </c>
      <c r="C248" s="13" t="inlineStr">
        <is>
          <t>Awareness</t>
        </is>
      </c>
      <c r="D248" s="13" t="inlineStr">
        <is>
          <t>AIMS Core</t>
        </is>
      </c>
    </row>
    <row r="249" ht="20" customHeight="1">
      <c r="A249" s="12" t="inlineStr">
        <is>
          <t>ISO 42001</t>
        </is>
      </c>
      <c r="B249" s="12" t="inlineStr">
        <is>
          <t>7.4</t>
        </is>
      </c>
      <c r="C249" s="13" t="inlineStr">
        <is>
          <t>Communication</t>
        </is>
      </c>
      <c r="D249" s="13" t="inlineStr">
        <is>
          <t>AIMS Core</t>
        </is>
      </c>
    </row>
    <row r="250" ht="20" customHeight="1">
      <c r="A250" s="12" t="inlineStr">
        <is>
          <t>ISO 42001</t>
        </is>
      </c>
      <c r="B250" s="12" t="inlineStr">
        <is>
          <t>7.5.1</t>
        </is>
      </c>
      <c r="C250" s="13" t="inlineStr">
        <is>
          <t>Documented information - General</t>
        </is>
      </c>
      <c r="D250" s="13" t="inlineStr">
        <is>
          <t>AIMS Core</t>
        </is>
      </c>
    </row>
    <row r="251" ht="20" customHeight="1">
      <c r="A251" s="12" t="inlineStr">
        <is>
          <t>ISO 42001</t>
        </is>
      </c>
      <c r="B251" s="12" t="inlineStr">
        <is>
          <t>7.5.2</t>
        </is>
      </c>
      <c r="C251" s="13" t="inlineStr">
        <is>
          <t>Creating and updating documented information</t>
        </is>
      </c>
      <c r="D251" s="13" t="inlineStr">
        <is>
          <t>AIMS Core</t>
        </is>
      </c>
    </row>
    <row r="252" ht="20" customHeight="1">
      <c r="A252" s="12" t="inlineStr">
        <is>
          <t>ISO 42001</t>
        </is>
      </c>
      <c r="B252" s="12" t="inlineStr">
        <is>
          <t>7.5.3</t>
        </is>
      </c>
      <c r="C252" s="13" t="inlineStr">
        <is>
          <t>Control of documented information</t>
        </is>
      </c>
      <c r="D252" s="13" t="inlineStr">
        <is>
          <t>AIMS Core</t>
        </is>
      </c>
    </row>
    <row r="253" ht="20" customHeight="1">
      <c r="A253" s="12" t="inlineStr">
        <is>
          <t>ISO 42001</t>
        </is>
      </c>
      <c r="B253" s="12" t="inlineStr">
        <is>
          <t>8.1</t>
        </is>
      </c>
      <c r="C253" s="13" t="inlineStr">
        <is>
          <t>Operational planning and control</t>
        </is>
      </c>
      <c r="D253" s="13" t="inlineStr">
        <is>
          <t>AIMS Core</t>
        </is>
      </c>
    </row>
    <row r="254" ht="20" customHeight="1">
      <c r="A254" s="12" t="inlineStr">
        <is>
          <t>ISO 42001</t>
        </is>
      </c>
      <c r="B254" s="12" t="inlineStr">
        <is>
          <t>8.2</t>
        </is>
      </c>
      <c r="C254" s="13" t="inlineStr">
        <is>
          <t>AI risk assessment</t>
        </is>
      </c>
      <c r="D254" s="13" t="inlineStr">
        <is>
          <t>AIMS Core</t>
        </is>
      </c>
    </row>
    <row r="255" ht="20" customHeight="1">
      <c r="A255" s="12" t="inlineStr">
        <is>
          <t>ISO 42001</t>
        </is>
      </c>
      <c r="B255" s="12" t="inlineStr">
        <is>
          <t>8.3</t>
        </is>
      </c>
      <c r="C255" s="13" t="inlineStr">
        <is>
          <t>AI risk treatment</t>
        </is>
      </c>
      <c r="D255" s="13" t="inlineStr">
        <is>
          <t>AIMS Core</t>
        </is>
      </c>
    </row>
    <row r="256" ht="20" customHeight="1">
      <c r="A256" s="12" t="inlineStr">
        <is>
          <t>ISO 42001</t>
        </is>
      </c>
      <c r="B256" s="12" t="inlineStr">
        <is>
          <t>8.4</t>
        </is>
      </c>
      <c r="C256" s="13" t="inlineStr">
        <is>
          <t>AI system impact assessment</t>
        </is>
      </c>
      <c r="D256" s="13" t="inlineStr">
        <is>
          <t>AIMS Core</t>
        </is>
      </c>
    </row>
    <row r="257" ht="20" customHeight="1">
      <c r="A257" s="12" t="inlineStr">
        <is>
          <t>ISO 42001</t>
        </is>
      </c>
      <c r="B257" s="12" t="inlineStr">
        <is>
          <t>9.1</t>
        </is>
      </c>
      <c r="C257" s="13" t="inlineStr">
        <is>
          <t>Monitoring, measurement, analysis and evaluation</t>
        </is>
      </c>
      <c r="D257" s="13" t="inlineStr">
        <is>
          <t>AIMS Core</t>
        </is>
      </c>
    </row>
    <row r="258" ht="20" customHeight="1">
      <c r="A258" s="12" t="inlineStr">
        <is>
          <t>ISO 42001</t>
        </is>
      </c>
      <c r="B258" s="12" t="inlineStr">
        <is>
          <t>9.2.1</t>
        </is>
      </c>
      <c r="C258" s="13" t="inlineStr">
        <is>
          <t>Internal audit - General</t>
        </is>
      </c>
      <c r="D258" s="13" t="inlineStr">
        <is>
          <t>AIMS Core</t>
        </is>
      </c>
    </row>
    <row r="259" ht="20" customHeight="1">
      <c r="A259" s="12" t="inlineStr">
        <is>
          <t>ISO 42001</t>
        </is>
      </c>
      <c r="B259" s="12" t="inlineStr">
        <is>
          <t>9.2.2</t>
        </is>
      </c>
      <c r="C259" s="13" t="inlineStr">
        <is>
          <t>Internal audit programme</t>
        </is>
      </c>
      <c r="D259" s="13" t="inlineStr">
        <is>
          <t>AIMS Core</t>
        </is>
      </c>
    </row>
    <row r="260" ht="20" customHeight="1">
      <c r="A260" s="12" t="inlineStr">
        <is>
          <t>ISO 42001</t>
        </is>
      </c>
      <c r="B260" s="12" t="inlineStr">
        <is>
          <t>9.3.1</t>
        </is>
      </c>
      <c r="C260" s="13" t="inlineStr">
        <is>
          <t>Management review - General</t>
        </is>
      </c>
      <c r="D260" s="13" t="inlineStr">
        <is>
          <t>AIMS Core</t>
        </is>
      </c>
    </row>
    <row r="261" ht="20" customHeight="1">
      <c r="A261" s="12" t="inlineStr">
        <is>
          <t>ISO 42001</t>
        </is>
      </c>
      <c r="B261" s="12" t="inlineStr">
        <is>
          <t>9.3.2</t>
        </is>
      </c>
      <c r="C261" s="13" t="inlineStr">
        <is>
          <t>Management review inputs</t>
        </is>
      </c>
      <c r="D261" s="13" t="inlineStr">
        <is>
          <t>AIMS Core</t>
        </is>
      </c>
    </row>
    <row r="262" ht="20" customHeight="1">
      <c r="A262" s="12" t="inlineStr">
        <is>
          <t>ISO 42001</t>
        </is>
      </c>
      <c r="B262" s="12" t="inlineStr">
        <is>
          <t>9.3.3</t>
        </is>
      </c>
      <c r="C262" s="13" t="inlineStr">
        <is>
          <t>Management review results</t>
        </is>
      </c>
      <c r="D262" s="13" t="inlineStr">
        <is>
          <t>AIMS Core</t>
        </is>
      </c>
    </row>
    <row r="263" ht="20" customHeight="1">
      <c r="A263" s="12" t="inlineStr">
        <is>
          <t>ISO 42001</t>
        </is>
      </c>
      <c r="B263" s="12" t="inlineStr">
        <is>
          <t>10.1</t>
        </is>
      </c>
      <c r="C263" s="13" t="inlineStr">
        <is>
          <t>Continual improvement</t>
        </is>
      </c>
      <c r="D263" s="13" t="inlineStr">
        <is>
          <t>AIMS Core</t>
        </is>
      </c>
    </row>
    <row r="264" ht="20" customHeight="1">
      <c r="A264" s="12" t="inlineStr">
        <is>
          <t>ISO 42001</t>
        </is>
      </c>
      <c r="B264" s="12" t="inlineStr">
        <is>
          <t>10.2</t>
        </is>
      </c>
      <c r="C264" s="13" t="inlineStr">
        <is>
          <t>Nonconformity and corrective action</t>
        </is>
      </c>
      <c r="D264" s="13" t="inlineStr">
        <is>
          <t>AIMS Core</t>
        </is>
      </c>
    </row>
    <row r="265" ht="20" customHeight="1">
      <c r="A265" s="12" t="inlineStr">
        <is>
          <t>ISO 42001</t>
        </is>
      </c>
      <c r="B265" s="12" t="inlineStr">
        <is>
          <t>A.2.2</t>
        </is>
      </c>
      <c r="C265" s="13" t="inlineStr">
        <is>
          <t>AI policy</t>
        </is>
      </c>
      <c r="D265" s="13" t="inlineStr">
        <is>
          <t>Annex A Controls</t>
        </is>
      </c>
    </row>
    <row r="266" ht="20" customHeight="1">
      <c r="A266" s="12" t="inlineStr">
        <is>
          <t>ISO 42001</t>
        </is>
      </c>
      <c r="B266" s="12" t="inlineStr">
        <is>
          <t>A.2.3</t>
        </is>
      </c>
      <c r="C266" s="13" t="inlineStr">
        <is>
          <t>Alignment with other organizational policies</t>
        </is>
      </c>
      <c r="D266" s="13" t="inlineStr">
        <is>
          <t>Annex A Controls</t>
        </is>
      </c>
    </row>
    <row r="267" ht="20" customHeight="1">
      <c r="A267" s="12" t="inlineStr">
        <is>
          <t>ISO 42001</t>
        </is>
      </c>
      <c r="B267" s="12" t="inlineStr">
        <is>
          <t>A.2.4</t>
        </is>
      </c>
      <c r="C267" s="13" t="inlineStr">
        <is>
          <t>Review of the AI policy</t>
        </is>
      </c>
      <c r="D267" s="13" t="inlineStr">
        <is>
          <t>Annex A Controls</t>
        </is>
      </c>
    </row>
    <row r="268" ht="20" customHeight="1">
      <c r="A268" s="12" t="inlineStr">
        <is>
          <t>ISO 42001</t>
        </is>
      </c>
      <c r="B268" s="12" t="inlineStr">
        <is>
          <t>A.3.2</t>
        </is>
      </c>
      <c r="C268" s="13" t="inlineStr">
        <is>
          <t>AI roles and responsibilities</t>
        </is>
      </c>
      <c r="D268" s="13" t="inlineStr">
        <is>
          <t>Annex A Controls</t>
        </is>
      </c>
    </row>
    <row r="269" ht="20" customHeight="1">
      <c r="A269" s="12" t="inlineStr">
        <is>
          <t>ISO 42001</t>
        </is>
      </c>
      <c r="B269" s="12" t="inlineStr">
        <is>
          <t>A.3.3</t>
        </is>
      </c>
      <c r="C269" s="13" t="inlineStr">
        <is>
          <t>Reporting of concerns</t>
        </is>
      </c>
      <c r="D269" s="13" t="inlineStr">
        <is>
          <t>Annex A Controls</t>
        </is>
      </c>
    </row>
    <row r="270" ht="20" customHeight="1">
      <c r="A270" s="12" t="inlineStr">
        <is>
          <t>ISO 42001</t>
        </is>
      </c>
      <c r="B270" s="12" t="inlineStr">
        <is>
          <t>A.4.2</t>
        </is>
      </c>
      <c r="C270" s="13" t="inlineStr">
        <is>
          <t>Resource documentation</t>
        </is>
      </c>
      <c r="D270" s="13" t="inlineStr">
        <is>
          <t>Annex A Controls</t>
        </is>
      </c>
    </row>
    <row r="271" ht="20" customHeight="1">
      <c r="A271" s="12" t="inlineStr">
        <is>
          <t>ISO 42001</t>
        </is>
      </c>
      <c r="B271" s="12" t="inlineStr">
        <is>
          <t>A.4.3</t>
        </is>
      </c>
      <c r="C271" s="13" t="inlineStr">
        <is>
          <t>Data resources</t>
        </is>
      </c>
      <c r="D271" s="13" t="inlineStr">
        <is>
          <t>Annex A Controls</t>
        </is>
      </c>
    </row>
    <row r="272" ht="20" customHeight="1">
      <c r="A272" s="12" t="inlineStr">
        <is>
          <t>ISO 42001</t>
        </is>
      </c>
      <c r="B272" s="12" t="inlineStr">
        <is>
          <t>A.4.4</t>
        </is>
      </c>
      <c r="C272" s="13" t="inlineStr">
        <is>
          <t>Tooling resources</t>
        </is>
      </c>
      <c r="D272" s="13" t="inlineStr">
        <is>
          <t>Annex A Controls</t>
        </is>
      </c>
    </row>
    <row r="273" ht="20" customHeight="1">
      <c r="A273" s="12" t="inlineStr">
        <is>
          <t>ISO 42001</t>
        </is>
      </c>
      <c r="B273" s="12" t="inlineStr">
        <is>
          <t>A.4.5</t>
        </is>
      </c>
      <c r="C273" s="13" t="inlineStr">
        <is>
          <t>System and computing resources</t>
        </is>
      </c>
      <c r="D273" s="13" t="inlineStr">
        <is>
          <t>Annex A Controls</t>
        </is>
      </c>
    </row>
    <row r="274" ht="20" customHeight="1">
      <c r="A274" s="12" t="inlineStr">
        <is>
          <t>ISO 42001</t>
        </is>
      </c>
      <c r="B274" s="12" t="inlineStr">
        <is>
          <t>A.4.6</t>
        </is>
      </c>
      <c r="C274" s="13" t="inlineStr">
        <is>
          <t>Human resources</t>
        </is>
      </c>
      <c r="D274" s="13" t="inlineStr">
        <is>
          <t>Annex A Controls</t>
        </is>
      </c>
    </row>
    <row r="275" ht="20" customHeight="1">
      <c r="A275" s="12" t="inlineStr">
        <is>
          <t>ISO 42001</t>
        </is>
      </c>
      <c r="B275" s="12" t="inlineStr">
        <is>
          <t>A.5.2</t>
        </is>
      </c>
      <c r="C275" s="13" t="inlineStr">
        <is>
          <t>AI system impact assessment process</t>
        </is>
      </c>
      <c r="D275" s="13" t="inlineStr">
        <is>
          <t>Annex A Controls</t>
        </is>
      </c>
    </row>
    <row r="276" ht="20" customHeight="1">
      <c r="A276" s="12" t="inlineStr">
        <is>
          <t>ISO 42001</t>
        </is>
      </c>
      <c r="B276" s="12" t="inlineStr">
        <is>
          <t>A.5.3</t>
        </is>
      </c>
      <c r="C276" s="13" t="inlineStr">
        <is>
          <t>Documentation of AI system impact assessments</t>
        </is>
      </c>
      <c r="D276" s="13" t="inlineStr">
        <is>
          <t>Annex A Controls</t>
        </is>
      </c>
    </row>
    <row r="277" ht="20" customHeight="1">
      <c r="A277" s="12" t="inlineStr">
        <is>
          <t>ISO 42001</t>
        </is>
      </c>
      <c r="B277" s="12" t="inlineStr">
        <is>
          <t>A.5.4</t>
        </is>
      </c>
      <c r="C277" s="13" t="inlineStr">
        <is>
          <t>Assessing AI system impact on individuals or groups of individuals</t>
        </is>
      </c>
      <c r="D277" s="13" t="inlineStr">
        <is>
          <t>Annex A Controls</t>
        </is>
      </c>
    </row>
    <row r="278" ht="20" customHeight="1">
      <c r="A278" s="12" t="inlineStr">
        <is>
          <t>ISO 42001</t>
        </is>
      </c>
      <c r="B278" s="12" t="inlineStr">
        <is>
          <t>A.5.5</t>
        </is>
      </c>
      <c r="C278" s="13" t="inlineStr">
        <is>
          <t>Assessing societal impacts of AI systems</t>
        </is>
      </c>
      <c r="D278" s="13" t="inlineStr">
        <is>
          <t>Annex A Controls</t>
        </is>
      </c>
    </row>
    <row r="279" ht="20" customHeight="1">
      <c r="A279" s="12" t="inlineStr">
        <is>
          <t>ISO 42001</t>
        </is>
      </c>
      <c r="B279" s="12" t="inlineStr">
        <is>
          <t>A.6.1.2</t>
        </is>
      </c>
      <c r="C279" s="13" t="inlineStr">
        <is>
          <t>Objectives for responsible development of AI system</t>
        </is>
      </c>
      <c r="D279" s="13" t="inlineStr">
        <is>
          <t>Annex A Controls</t>
        </is>
      </c>
    </row>
    <row r="280" ht="20" customHeight="1">
      <c r="A280" s="12" t="inlineStr">
        <is>
          <t>ISO 42001</t>
        </is>
      </c>
      <c r="B280" s="12" t="inlineStr">
        <is>
          <t>A.6.1.3</t>
        </is>
      </c>
      <c r="C280" s="13" t="inlineStr">
        <is>
          <t>Processes for responsible AI system design and development</t>
        </is>
      </c>
      <c r="D280" s="13" t="inlineStr">
        <is>
          <t>Annex A Controls</t>
        </is>
      </c>
    </row>
    <row r="281" ht="20" customHeight="1">
      <c r="A281" s="12" t="inlineStr">
        <is>
          <t>ISO 42001</t>
        </is>
      </c>
      <c r="B281" s="12" t="inlineStr">
        <is>
          <t>A.6.2.2</t>
        </is>
      </c>
      <c r="C281" s="13" t="inlineStr">
        <is>
          <t>AI system requirements and specification</t>
        </is>
      </c>
      <c r="D281" s="13" t="inlineStr">
        <is>
          <t>Annex A Controls</t>
        </is>
      </c>
    </row>
    <row r="282" ht="20" customHeight="1">
      <c r="A282" s="12" t="inlineStr">
        <is>
          <t>ISO 42001</t>
        </is>
      </c>
      <c r="B282" s="12" t="inlineStr">
        <is>
          <t>A.6.2.3</t>
        </is>
      </c>
      <c r="C282" s="13" t="inlineStr">
        <is>
          <t>Documentation of AI system design and development</t>
        </is>
      </c>
      <c r="D282" s="13" t="inlineStr">
        <is>
          <t>Annex A Controls</t>
        </is>
      </c>
    </row>
    <row r="283" ht="20" customHeight="1">
      <c r="A283" s="12" t="inlineStr">
        <is>
          <t>ISO 42001</t>
        </is>
      </c>
      <c r="B283" s="12" t="inlineStr">
        <is>
          <t>A.6.2.4</t>
        </is>
      </c>
      <c r="C283" s="13" t="inlineStr">
        <is>
          <t>AI system verification and validation</t>
        </is>
      </c>
      <c r="D283" s="13" t="inlineStr">
        <is>
          <t>Annex A Controls</t>
        </is>
      </c>
    </row>
    <row r="284" ht="20" customHeight="1">
      <c r="A284" s="12" t="inlineStr">
        <is>
          <t>ISO 42001</t>
        </is>
      </c>
      <c r="B284" s="12" t="inlineStr">
        <is>
          <t>A.6.2.5</t>
        </is>
      </c>
      <c r="C284" s="13" t="inlineStr">
        <is>
          <t>AI system deployment</t>
        </is>
      </c>
      <c r="D284" s="13" t="inlineStr">
        <is>
          <t>Annex A Controls</t>
        </is>
      </c>
    </row>
    <row r="285" ht="20" customHeight="1">
      <c r="A285" s="12" t="inlineStr">
        <is>
          <t>ISO 42001</t>
        </is>
      </c>
      <c r="B285" s="12" t="inlineStr">
        <is>
          <t>A.6.2.6</t>
        </is>
      </c>
      <c r="C285" s="13" t="inlineStr">
        <is>
          <t>AI system operation and monitoring</t>
        </is>
      </c>
      <c r="D285" s="13" t="inlineStr">
        <is>
          <t>Annex A Controls</t>
        </is>
      </c>
    </row>
    <row r="286" ht="20" customHeight="1">
      <c r="A286" s="12" t="inlineStr">
        <is>
          <t>ISO 42001</t>
        </is>
      </c>
      <c r="B286" s="12" t="inlineStr">
        <is>
          <t>A.6.2.7</t>
        </is>
      </c>
      <c r="C286" s="13" t="inlineStr">
        <is>
          <t>AI system technical documentation</t>
        </is>
      </c>
      <c r="D286" s="13" t="inlineStr">
        <is>
          <t>Annex A Controls</t>
        </is>
      </c>
    </row>
    <row r="287" ht="20" customHeight="1">
      <c r="A287" s="12" t="inlineStr">
        <is>
          <t>ISO 42001</t>
        </is>
      </c>
      <c r="B287" s="12" t="inlineStr">
        <is>
          <t>A.6.2.8</t>
        </is>
      </c>
      <c r="C287" s="13" t="inlineStr">
        <is>
          <t>AI system recording of event logs</t>
        </is>
      </c>
      <c r="D287" s="13" t="inlineStr">
        <is>
          <t>Annex A Controls</t>
        </is>
      </c>
    </row>
    <row r="288" ht="20" customHeight="1">
      <c r="A288" s="12" t="inlineStr">
        <is>
          <t>ISO 42001</t>
        </is>
      </c>
      <c r="B288" s="12" t="inlineStr">
        <is>
          <t>A.7.2</t>
        </is>
      </c>
      <c r="C288" s="13" t="inlineStr">
        <is>
          <t>Data for development and enhancement of AI system</t>
        </is>
      </c>
      <c r="D288" s="13" t="inlineStr">
        <is>
          <t>Annex A Controls</t>
        </is>
      </c>
    </row>
    <row r="289" ht="20" customHeight="1">
      <c r="A289" s="12" t="inlineStr">
        <is>
          <t>ISO 42001</t>
        </is>
      </c>
      <c r="B289" s="12" t="inlineStr">
        <is>
          <t>A.7.3</t>
        </is>
      </c>
      <c r="C289" s="13" t="inlineStr">
        <is>
          <t>Acquisition of data</t>
        </is>
      </c>
      <c r="D289" s="13" t="inlineStr">
        <is>
          <t>Annex A Controls</t>
        </is>
      </c>
    </row>
    <row r="290" ht="20" customHeight="1">
      <c r="A290" s="12" t="inlineStr">
        <is>
          <t>ISO 42001</t>
        </is>
      </c>
      <c r="B290" s="12" t="inlineStr">
        <is>
          <t>A.7.4</t>
        </is>
      </c>
      <c r="C290" s="13" t="inlineStr">
        <is>
          <t>Quality of data for AI systems</t>
        </is>
      </c>
      <c r="D290" s="13" t="inlineStr">
        <is>
          <t>Annex A Controls</t>
        </is>
      </c>
    </row>
    <row r="291" ht="20" customHeight="1">
      <c r="A291" s="12" t="inlineStr">
        <is>
          <t>ISO 42001</t>
        </is>
      </c>
      <c r="B291" s="12" t="inlineStr">
        <is>
          <t>A.7.5</t>
        </is>
      </c>
      <c r="C291" s="13" t="inlineStr">
        <is>
          <t>Data provenance</t>
        </is>
      </c>
      <c r="D291" s="13" t="inlineStr">
        <is>
          <t>Annex A Controls</t>
        </is>
      </c>
    </row>
    <row r="292" ht="20" customHeight="1">
      <c r="A292" s="12" t="inlineStr">
        <is>
          <t>ISO 42001</t>
        </is>
      </c>
      <c r="B292" s="12" t="inlineStr">
        <is>
          <t>A.7.6</t>
        </is>
      </c>
      <c r="C292" s="13" t="inlineStr">
        <is>
          <t>Data preparation</t>
        </is>
      </c>
      <c r="D292" s="13" t="inlineStr">
        <is>
          <t>Annex A Controls</t>
        </is>
      </c>
    </row>
    <row r="293" ht="20" customHeight="1">
      <c r="A293" s="12" t="inlineStr">
        <is>
          <t>ISO 42001</t>
        </is>
      </c>
      <c r="B293" s="12" t="inlineStr">
        <is>
          <t>A.8.2</t>
        </is>
      </c>
      <c r="C293" s="13" t="inlineStr">
        <is>
          <t>System documentation and information for users</t>
        </is>
      </c>
      <c r="D293" s="13" t="inlineStr">
        <is>
          <t>Annex A Controls</t>
        </is>
      </c>
    </row>
    <row r="294" ht="20" customHeight="1">
      <c r="A294" s="12" t="inlineStr">
        <is>
          <t>ISO 42001</t>
        </is>
      </c>
      <c r="B294" s="12" t="inlineStr">
        <is>
          <t>A.8.3</t>
        </is>
      </c>
      <c r="C294" s="13" t="inlineStr">
        <is>
          <t>External reporting</t>
        </is>
      </c>
      <c r="D294" s="13" t="inlineStr">
        <is>
          <t>Annex A Controls</t>
        </is>
      </c>
    </row>
    <row r="295" ht="20" customHeight="1">
      <c r="A295" s="12" t="inlineStr">
        <is>
          <t>ISO 42001</t>
        </is>
      </c>
      <c r="B295" s="12" t="inlineStr">
        <is>
          <t>A.8.4</t>
        </is>
      </c>
      <c r="C295" s="13" t="inlineStr">
        <is>
          <t>Communication of incidents</t>
        </is>
      </c>
      <c r="D295" s="13" t="inlineStr">
        <is>
          <t>Annex A Controls</t>
        </is>
      </c>
    </row>
    <row r="296" ht="20" customHeight="1">
      <c r="A296" s="12" t="inlineStr">
        <is>
          <t>ISO 42001</t>
        </is>
      </c>
      <c r="B296" s="12" t="inlineStr">
        <is>
          <t>A.8.5</t>
        </is>
      </c>
      <c r="C296" s="13" t="inlineStr">
        <is>
          <t>Information for interested parties</t>
        </is>
      </c>
      <c r="D296" s="13" t="inlineStr">
        <is>
          <t>Annex A Controls</t>
        </is>
      </c>
    </row>
    <row r="297" ht="20" customHeight="1">
      <c r="A297" s="12" t="inlineStr">
        <is>
          <t>ISO 42001</t>
        </is>
      </c>
      <c r="B297" s="12" t="inlineStr">
        <is>
          <t>A.9.2</t>
        </is>
      </c>
      <c r="C297" s="13" t="inlineStr">
        <is>
          <t>Processes for responsible use of AI systems</t>
        </is>
      </c>
      <c r="D297" s="13" t="inlineStr">
        <is>
          <t>Annex A Controls</t>
        </is>
      </c>
    </row>
    <row r="298" ht="20" customHeight="1">
      <c r="A298" s="12" t="inlineStr">
        <is>
          <t>ISO 42001</t>
        </is>
      </c>
      <c r="B298" s="12" t="inlineStr">
        <is>
          <t>A.9.3</t>
        </is>
      </c>
      <c r="C298" s="13" t="inlineStr">
        <is>
          <t>Objectives for responsible use of AI system</t>
        </is>
      </c>
      <c r="D298" s="13" t="inlineStr">
        <is>
          <t>Annex A Controls</t>
        </is>
      </c>
    </row>
    <row r="299" ht="20" customHeight="1">
      <c r="A299" s="12" t="inlineStr">
        <is>
          <t>ISO 42001</t>
        </is>
      </c>
      <c r="B299" s="12" t="inlineStr">
        <is>
          <t>A.9.4</t>
        </is>
      </c>
      <c r="C299" s="13" t="inlineStr">
        <is>
          <t>Intended use of the AI system</t>
        </is>
      </c>
      <c r="D299" s="13" t="inlineStr">
        <is>
          <t>Annex A Controls</t>
        </is>
      </c>
    </row>
    <row r="300" ht="20" customHeight="1">
      <c r="A300" s="12" t="inlineStr">
        <is>
          <t>ISO 42001</t>
        </is>
      </c>
      <c r="B300" s="12" t="inlineStr">
        <is>
          <t>A.10.2</t>
        </is>
      </c>
      <c r="C300" s="13" t="inlineStr">
        <is>
          <t>Allocating responsibilities</t>
        </is>
      </c>
      <c r="D300" s="13" t="inlineStr">
        <is>
          <t>Annex A Controls</t>
        </is>
      </c>
    </row>
    <row r="301" ht="20" customHeight="1">
      <c r="A301" s="12" t="inlineStr">
        <is>
          <t>ISO 42001</t>
        </is>
      </c>
      <c r="B301" s="12" t="inlineStr">
        <is>
          <t>A.10.3</t>
        </is>
      </c>
      <c r="C301" s="13" t="inlineStr">
        <is>
          <t>Suppliers</t>
        </is>
      </c>
      <c r="D301" s="13" t="inlineStr">
        <is>
          <t>Annex A Controls</t>
        </is>
      </c>
    </row>
    <row r="302" ht="20" customHeight="1">
      <c r="A302" s="12" t="inlineStr">
        <is>
          <t>ISO 42001</t>
        </is>
      </c>
      <c r="B302" s="12" t="inlineStr">
        <is>
          <t>A.10.4</t>
        </is>
      </c>
      <c r="C302" s="13" t="inlineStr">
        <is>
          <t>Customers</t>
        </is>
      </c>
      <c r="D302" s="13" t="inlineStr">
        <is>
          <t>Annex A Controls</t>
        </is>
      </c>
    </row>
    <row r="303" ht="20" customHeight="1">
      <c r="A303" s="12" t="inlineStr">
        <is>
          <t>KSA PDPL</t>
        </is>
      </c>
      <c r="B303" s="12" t="inlineStr">
        <is>
          <t>Article-1</t>
        </is>
      </c>
      <c r="C303" s="13" t="inlineStr">
        <is>
          <t>Definitions</t>
        </is>
      </c>
      <c r="D303" s="13" t="inlineStr">
        <is>
          <t>General Provisions</t>
        </is>
      </c>
    </row>
    <row r="304" ht="20" customHeight="1">
      <c r="A304" s="12" t="inlineStr">
        <is>
          <t>KSA PDPL</t>
        </is>
      </c>
      <c r="B304" s="12" t="inlineStr">
        <is>
          <t>Article-2</t>
        </is>
      </c>
      <c r="C304" s="13" t="inlineStr">
        <is>
          <t>Scope of Application</t>
        </is>
      </c>
      <c r="D304" s="13" t="inlineStr">
        <is>
          <t>General Provisions</t>
        </is>
      </c>
    </row>
    <row r="305" ht="20" customHeight="1">
      <c r="A305" s="12" t="inlineStr">
        <is>
          <t>KSA PDPL</t>
        </is>
      </c>
      <c r="B305" s="12" t="inlineStr">
        <is>
          <t>Article-3</t>
        </is>
      </c>
      <c r="C305" s="13" t="inlineStr">
        <is>
          <t>Non-Prejudice Clause</t>
        </is>
      </c>
      <c r="D305" s="13" t="inlineStr">
        <is>
          <t>General Provisions</t>
        </is>
      </c>
    </row>
    <row r="306" ht="20" customHeight="1">
      <c r="A306" s="12" t="inlineStr">
        <is>
          <t>KSA PDPL</t>
        </is>
      </c>
      <c r="B306" s="12" t="inlineStr">
        <is>
          <t>Article-4</t>
        </is>
      </c>
      <c r="C306" s="13" t="inlineStr">
        <is>
          <t>Data Subject Rights</t>
        </is>
      </c>
      <c r="D306" s="13" t="inlineStr">
        <is>
          <t>Data Subject Rights</t>
        </is>
      </c>
    </row>
    <row r="307" ht="20" customHeight="1">
      <c r="A307" s="12" t="inlineStr">
        <is>
          <t>KSA PDPL</t>
        </is>
      </c>
      <c r="B307" s="12" t="inlineStr">
        <is>
          <t>Article-9</t>
        </is>
      </c>
      <c r="C307" s="13" t="inlineStr">
        <is>
          <t>Limitations on Right to Access</t>
        </is>
      </c>
      <c r="D307" s="13" t="inlineStr">
        <is>
          <t>Data Subject Rights</t>
        </is>
      </c>
    </row>
    <row r="308" ht="20" customHeight="1">
      <c r="A308" s="12" t="inlineStr">
        <is>
          <t>KSA PDPL</t>
        </is>
      </c>
      <c r="B308" s="12" t="inlineStr">
        <is>
          <t>Article-21</t>
        </is>
      </c>
      <c r="C308" s="13" t="inlineStr">
        <is>
          <t>Response to Data Subject Requests</t>
        </is>
      </c>
      <c r="D308" s="13" t="inlineStr">
        <is>
          <t>Data Subject Rights</t>
        </is>
      </c>
    </row>
    <row r="309" ht="20" customHeight="1">
      <c r="A309" s="12" t="inlineStr">
        <is>
          <t>KSA PDPL</t>
        </is>
      </c>
      <c r="B309" s="12" t="inlineStr">
        <is>
          <t>Article-5</t>
        </is>
      </c>
      <c r="C309" s="13" t="inlineStr">
        <is>
          <t>Consent Requirement</t>
        </is>
      </c>
      <c r="D309" s="13" t="inlineStr">
        <is>
          <t>Consent &amp; Legal Basis for Processing</t>
        </is>
      </c>
    </row>
    <row r="310" ht="20" customHeight="1">
      <c r="A310" s="12" t="inlineStr">
        <is>
          <t>KSA PDPL</t>
        </is>
      </c>
      <c r="B310" s="12" t="inlineStr">
        <is>
          <t>Article-6</t>
        </is>
      </c>
      <c r="C310" s="13" t="inlineStr">
        <is>
          <t>Processing Without Consent</t>
        </is>
      </c>
      <c r="D310" s="13" t="inlineStr">
        <is>
          <t>Consent &amp; Legal Basis for Processing</t>
        </is>
      </c>
    </row>
    <row r="311" ht="20" customHeight="1">
      <c r="A311" s="12" t="inlineStr">
        <is>
          <t>KSA PDPL</t>
        </is>
      </c>
      <c r="B311" s="12" t="inlineStr">
        <is>
          <t>Article-7</t>
        </is>
      </c>
      <c r="C311" s="13" t="inlineStr">
        <is>
          <t>Consent as Condition of Service</t>
        </is>
      </c>
      <c r="D311" s="13" t="inlineStr">
        <is>
          <t>Consent &amp; Legal Basis for Processing</t>
        </is>
      </c>
    </row>
    <row r="312" ht="20" customHeight="1">
      <c r="A312" s="12" t="inlineStr">
        <is>
          <t>KSA PDPL</t>
        </is>
      </c>
      <c r="B312" s="12" t="inlineStr">
        <is>
          <t>Article-8</t>
        </is>
      </c>
      <c r="C312" s="13" t="inlineStr">
        <is>
          <t>Controller and Processor Relationship</t>
        </is>
      </c>
      <c r="D312" s="13" t="inlineStr">
        <is>
          <t>Controller &amp; Processor Obligations</t>
        </is>
      </c>
    </row>
    <row r="313" ht="20" customHeight="1">
      <c r="A313" s="12" t="inlineStr">
        <is>
          <t>KSA PDPL</t>
        </is>
      </c>
      <c r="B313" s="12" t="inlineStr">
        <is>
          <t>Article-41</t>
        </is>
      </c>
      <c r="C313" s="13" t="inlineStr">
        <is>
          <t>Confidentiality Obligation</t>
        </is>
      </c>
      <c r="D313" s="13" t="inlineStr">
        <is>
          <t>Controller &amp; Processor Obligations</t>
        </is>
      </c>
    </row>
    <row r="314" ht="20" customHeight="1">
      <c r="A314" s="12" t="inlineStr">
        <is>
          <t>KSA PDPL</t>
        </is>
      </c>
      <c r="B314" s="12" t="inlineStr">
        <is>
          <t>Article-10</t>
        </is>
      </c>
      <c r="C314" s="13" t="inlineStr">
        <is>
          <t>Collection Sources and Purposes</t>
        </is>
      </c>
      <c r="D314" s="13" t="inlineStr">
        <is>
          <t>Data Collection &amp; Processing</t>
        </is>
      </c>
    </row>
    <row r="315" ht="20" customHeight="1">
      <c r="A315" s="12" t="inlineStr">
        <is>
          <t>KSA PDPL</t>
        </is>
      </c>
      <c r="B315" s="12" t="inlineStr">
        <is>
          <t>Article-11</t>
        </is>
      </c>
      <c r="C315" s="13" t="inlineStr">
        <is>
          <t>Data Minimization and Purpose Limitation</t>
        </is>
      </c>
      <c r="D315" s="13" t="inlineStr">
        <is>
          <t>Data Collection &amp; Processing</t>
        </is>
      </c>
    </row>
    <row r="316" ht="20" customHeight="1">
      <c r="A316" s="12" t="inlineStr">
        <is>
          <t>KSA PDPL</t>
        </is>
      </c>
      <c r="B316" s="12" t="inlineStr">
        <is>
          <t>Article-12</t>
        </is>
      </c>
      <c r="C316" s="13" t="inlineStr">
        <is>
          <t>Privacy Policy</t>
        </is>
      </c>
      <c r="D316" s="13" t="inlineStr">
        <is>
          <t>Data Collection &amp; Processing</t>
        </is>
      </c>
    </row>
    <row r="317" ht="20" customHeight="1">
      <c r="A317" s="12" t="inlineStr">
        <is>
          <t>KSA PDPL</t>
        </is>
      </c>
      <c r="B317" s="12" t="inlineStr">
        <is>
          <t>Article-13</t>
        </is>
      </c>
      <c r="C317" s="13" t="inlineStr">
        <is>
          <t>Notification at Collection</t>
        </is>
      </c>
      <c r="D317" s="13" t="inlineStr">
        <is>
          <t>Data Collection &amp; Processing</t>
        </is>
      </c>
    </row>
    <row r="318" ht="20" customHeight="1">
      <c r="A318" s="12" t="inlineStr">
        <is>
          <t>KSA PDPL</t>
        </is>
      </c>
      <c r="B318" s="12" t="inlineStr">
        <is>
          <t>Article-14</t>
        </is>
      </c>
      <c r="C318" s="13" t="inlineStr">
        <is>
          <t>Data Accuracy</t>
        </is>
      </c>
      <c r="D318" s="13" t="inlineStr">
        <is>
          <t>Data Collection &amp; Processing</t>
        </is>
      </c>
    </row>
    <row r="319" ht="20" customHeight="1">
      <c r="A319" s="12" t="inlineStr">
        <is>
          <t>KSA PDPL</t>
        </is>
      </c>
      <c r="B319" s="12" t="inlineStr">
        <is>
          <t>Article-15</t>
        </is>
      </c>
      <c r="C319" s="13" t="inlineStr">
        <is>
          <t>Conditions for Disclosure</t>
        </is>
      </c>
      <c r="D319" s="13" t="inlineStr">
        <is>
          <t>Data Collection &amp; Processing</t>
        </is>
      </c>
    </row>
    <row r="320" ht="20" customHeight="1">
      <c r="A320" s="12" t="inlineStr">
        <is>
          <t>KSA PDPL</t>
        </is>
      </c>
      <c r="B320" s="12" t="inlineStr">
        <is>
          <t>Article-16</t>
        </is>
      </c>
      <c r="C320" s="13" t="inlineStr">
        <is>
          <t>Prohibited Disclosures</t>
        </is>
      </c>
      <c r="D320" s="13" t="inlineStr">
        <is>
          <t>Data Collection &amp; Processing</t>
        </is>
      </c>
    </row>
    <row r="321" ht="20" customHeight="1">
      <c r="A321" s="12" t="inlineStr">
        <is>
          <t>KSA PDPL</t>
        </is>
      </c>
      <c r="B321" s="12" t="inlineStr">
        <is>
          <t>Article-17</t>
        </is>
      </c>
      <c r="C321" s="13" t="inlineStr">
        <is>
          <t>Correction and Updating of Personal Data</t>
        </is>
      </c>
      <c r="D321" s="13" t="inlineStr">
        <is>
          <t>Data Management &amp; Lifecycle</t>
        </is>
      </c>
    </row>
    <row r="322" ht="20" customHeight="1">
      <c r="A322" s="12" t="inlineStr">
        <is>
          <t>KSA PDPL</t>
        </is>
      </c>
      <c r="B322" s="12" t="inlineStr">
        <is>
          <t>Article-18</t>
        </is>
      </c>
      <c r="C322" s="13" t="inlineStr">
        <is>
          <t>Retention and Destruction of Personal Data</t>
        </is>
      </c>
      <c r="D322" s="13" t="inlineStr">
        <is>
          <t>Data Management &amp; Lifecycle</t>
        </is>
      </c>
    </row>
    <row r="323" ht="20" customHeight="1">
      <c r="A323" s="12" t="inlineStr">
        <is>
          <t>KSA PDPL</t>
        </is>
      </c>
      <c r="B323" s="12" t="inlineStr">
        <is>
          <t>Article-19</t>
        </is>
      </c>
      <c r="C323" s="13" t="inlineStr">
        <is>
          <t>Technical and Organizational Security Measures</t>
        </is>
      </c>
      <c r="D323" s="13" t="inlineStr">
        <is>
          <t>Data Management &amp; Lifecycle</t>
        </is>
      </c>
    </row>
    <row r="324" ht="20" customHeight="1">
      <c r="A324" s="12" t="inlineStr">
        <is>
          <t>KSA PDPL</t>
        </is>
      </c>
      <c r="B324" s="12" t="inlineStr">
        <is>
          <t>Article-20</t>
        </is>
      </c>
      <c r="C324" s="13" t="inlineStr">
        <is>
          <t>Breach Notification</t>
        </is>
      </c>
      <c r="D324" s="13" t="inlineStr">
        <is>
          <t>Data Management &amp; Lifecycle</t>
        </is>
      </c>
    </row>
    <row r="325" ht="20" customHeight="1">
      <c r="A325" s="12" t="inlineStr">
        <is>
          <t>KSA PDPL</t>
        </is>
      </c>
      <c r="B325" s="12" t="inlineStr">
        <is>
          <t>Article-22</t>
        </is>
      </c>
      <c r="C325" s="13" t="inlineStr">
        <is>
          <t>Data Privacy Impact Assessment (DPIA)</t>
        </is>
      </c>
      <c r="D325" s="13" t="inlineStr">
        <is>
          <t>Data Management &amp; Lifecycle</t>
        </is>
      </c>
    </row>
    <row r="326" ht="20" customHeight="1">
      <c r="A326" s="12" t="inlineStr">
        <is>
          <t>KSA PDPL</t>
        </is>
      </c>
      <c r="B326" s="12" t="inlineStr">
        <is>
          <t>Article-23</t>
        </is>
      </c>
      <c r="C326" s="13" t="inlineStr">
        <is>
          <t>Health Data Processing</t>
        </is>
      </c>
      <c r="D326" s="13" t="inlineStr">
        <is>
          <t>Special Categories &amp; Specific Processing</t>
        </is>
      </c>
    </row>
    <row r="327" ht="20" customHeight="1">
      <c r="A327" s="12" t="inlineStr">
        <is>
          <t>KSA PDPL</t>
        </is>
      </c>
      <c r="B327" s="12" t="inlineStr">
        <is>
          <t>Article-24</t>
        </is>
      </c>
      <c r="C327" s="13" t="inlineStr">
        <is>
          <t>Credit Data Processing</t>
        </is>
      </c>
      <c r="D327" s="13" t="inlineStr">
        <is>
          <t>Special Categories &amp; Specific Processing</t>
        </is>
      </c>
    </row>
    <row r="328" ht="20" customHeight="1">
      <c r="A328" s="12" t="inlineStr">
        <is>
          <t>KSA PDPL</t>
        </is>
      </c>
      <c r="B328" s="12" t="inlineStr">
        <is>
          <t>Article-25</t>
        </is>
      </c>
      <c r="C328" s="13" t="inlineStr">
        <is>
          <t>Direct Marketing Restrictions</t>
        </is>
      </c>
      <c r="D328" s="13" t="inlineStr">
        <is>
          <t>Special Categories &amp; Specific Processing</t>
        </is>
      </c>
    </row>
    <row r="329" ht="20" customHeight="1">
      <c r="A329" s="12" t="inlineStr">
        <is>
          <t>KSA PDPL</t>
        </is>
      </c>
      <c r="B329" s="12" t="inlineStr">
        <is>
          <t>Article-26</t>
        </is>
      </c>
      <c r="C329" s="13" t="inlineStr">
        <is>
          <t>Processing for Marketing Purposes</t>
        </is>
      </c>
      <c r="D329" s="13" t="inlineStr">
        <is>
          <t>Special Categories &amp; Specific Processing</t>
        </is>
      </c>
    </row>
    <row r="330" ht="20" customHeight="1">
      <c r="A330" s="12" t="inlineStr">
        <is>
          <t>KSA PDPL</t>
        </is>
      </c>
      <c r="B330" s="12" t="inlineStr">
        <is>
          <t>Article-27</t>
        </is>
      </c>
      <c r="C330" s="13" t="inlineStr">
        <is>
          <t>Scientific, Research, or Statistical Purposes</t>
        </is>
      </c>
      <c r="D330" s="13" t="inlineStr">
        <is>
          <t>Special Categories &amp; Specific Processing</t>
        </is>
      </c>
    </row>
    <row r="331" ht="20" customHeight="1">
      <c r="A331" s="12" t="inlineStr">
        <is>
          <t>KSA PDPL</t>
        </is>
      </c>
      <c r="B331" s="12" t="inlineStr">
        <is>
          <t>Article-28</t>
        </is>
      </c>
      <c r="C331" s="13" t="inlineStr">
        <is>
          <t>Official Documents</t>
        </is>
      </c>
      <c r="D331" s="13" t="inlineStr">
        <is>
          <t>Special Categories &amp; Specific Processing</t>
        </is>
      </c>
    </row>
    <row r="332" ht="20" customHeight="1">
      <c r="A332" s="12" t="inlineStr">
        <is>
          <t>KSA PDPL</t>
        </is>
      </c>
      <c r="B332" s="12" t="inlineStr">
        <is>
          <t>Article-29</t>
        </is>
      </c>
      <c r="C332" s="13" t="inlineStr">
        <is>
          <t>Transfer of Personal Data Outside the Kingdom</t>
        </is>
      </c>
      <c r="D332" s="13" t="inlineStr">
        <is>
          <t>Cross-Border Data Transfer</t>
        </is>
      </c>
    </row>
    <row r="333" ht="20" customHeight="1">
      <c r="A333" s="12" t="inlineStr">
        <is>
          <t>KSA PDPL</t>
        </is>
      </c>
      <c r="B333" s="12" t="inlineStr">
        <is>
          <t>Article-30</t>
        </is>
      </c>
      <c r="C333" s="13" t="inlineStr">
        <is>
          <t>Competent Authority &amp; Data Protection Officer</t>
        </is>
      </c>
      <c r="D333" s="13" t="inlineStr">
        <is>
          <t>Governance, Oversight &amp; Compliance</t>
        </is>
      </c>
    </row>
    <row r="334" ht="20" customHeight="1">
      <c r="A334" s="12" t="inlineStr">
        <is>
          <t>KSA PDPL</t>
        </is>
      </c>
      <c r="B334" s="12" t="inlineStr">
        <is>
          <t>Article-31</t>
        </is>
      </c>
      <c r="C334" s="13" t="inlineStr">
        <is>
          <t>Records of Processing Activities (RoPA)</t>
        </is>
      </c>
      <c r="D334" s="13" t="inlineStr">
        <is>
          <t>Governance, Oversight &amp; Compliance</t>
        </is>
      </c>
    </row>
    <row r="335" ht="20" customHeight="1">
      <c r="A335" s="12" t="inlineStr">
        <is>
          <t>KSA PDPL</t>
        </is>
      </c>
      <c r="B335" s="12" t="inlineStr">
        <is>
          <t>Article-33</t>
        </is>
      </c>
      <c r="C335" s="13" t="inlineStr">
        <is>
          <t>Licensing and Accreditation</t>
        </is>
      </c>
      <c r="D335" s="13" t="inlineStr">
        <is>
          <t>Governance, Oversight &amp; Compliance</t>
        </is>
      </c>
    </row>
    <row r="336" ht="20" customHeight="1">
      <c r="A336" s="12" t="inlineStr">
        <is>
          <t>KSA PDPL</t>
        </is>
      </c>
      <c r="B336" s="12" t="inlineStr">
        <is>
          <t>Article-34</t>
        </is>
      </c>
      <c r="C336" s="13" t="inlineStr">
        <is>
          <t>Complaints</t>
        </is>
      </c>
      <c r="D336" s="13" t="inlineStr">
        <is>
          <t>Governance, Oversight &amp; Compliance</t>
        </is>
      </c>
    </row>
    <row r="337" ht="20" customHeight="1">
      <c r="A337" s="12" t="inlineStr">
        <is>
          <t>KSA PDPL</t>
        </is>
      </c>
      <c r="B337" s="12" t="inlineStr">
        <is>
          <t>Article-35</t>
        </is>
      </c>
      <c r="C337" s="13" t="inlineStr">
        <is>
          <t>Criminal Penalties for Sensitive Data Violations</t>
        </is>
      </c>
      <c r="D337" s="13" t="inlineStr">
        <is>
          <t>Penalties &amp; Enforcement</t>
        </is>
      </c>
    </row>
    <row r="338" ht="20" customHeight="1">
      <c r="A338" s="12" t="inlineStr">
        <is>
          <t>KSA PDPL</t>
        </is>
      </c>
      <c r="B338" s="12" t="inlineStr">
        <is>
          <t>Article-36</t>
        </is>
      </c>
      <c r="C338" s="13" t="inlineStr">
        <is>
          <t>Administrative Violations and Fines</t>
        </is>
      </c>
      <c r="D338" s="13" t="inlineStr">
        <is>
          <t>Penalties &amp; Enforcement</t>
        </is>
      </c>
    </row>
    <row r="339" ht="20" customHeight="1">
      <c r="A339" s="12" t="inlineStr">
        <is>
          <t>KSA PDPL</t>
        </is>
      </c>
      <c r="B339" s="12" t="inlineStr">
        <is>
          <t>Article-37</t>
        </is>
      </c>
      <c r="C339" s="13" t="inlineStr">
        <is>
          <t>Inspection and Control Powers</t>
        </is>
      </c>
      <c r="D339" s="13" t="inlineStr">
        <is>
          <t>Penalties &amp; Enforcement</t>
        </is>
      </c>
    </row>
    <row r="340" ht="20" customHeight="1">
      <c r="A340" s="12" t="inlineStr">
        <is>
          <t>KSA PDPL</t>
        </is>
      </c>
      <c r="B340" s="12" t="inlineStr">
        <is>
          <t>Article-38</t>
        </is>
      </c>
      <c r="C340" s="13" t="inlineStr">
        <is>
          <t>Confiscation and Publication of Penalty</t>
        </is>
      </c>
      <c r="D340" s="13" t="inlineStr">
        <is>
          <t>Penalties &amp; Enforcement</t>
        </is>
      </c>
    </row>
    <row r="341" ht="20" customHeight="1">
      <c r="A341" s="12" t="inlineStr">
        <is>
          <t>KSA PDPL</t>
        </is>
      </c>
      <c r="B341" s="12" t="inlineStr">
        <is>
          <t>Article-39</t>
        </is>
      </c>
      <c r="C341" s="13" t="inlineStr">
        <is>
          <t>Disciplinary Action for Public Entity Employees</t>
        </is>
      </c>
      <c r="D341" s="13" t="inlineStr">
        <is>
          <t>Penalties &amp; Enforcement</t>
        </is>
      </c>
    </row>
    <row r="342" ht="20" customHeight="1">
      <c r="A342" s="12" t="inlineStr">
        <is>
          <t>KSA PDPL</t>
        </is>
      </c>
      <c r="B342" s="12" t="inlineStr">
        <is>
          <t>Article-40</t>
        </is>
      </c>
      <c r="C342" s="13" t="inlineStr">
        <is>
          <t>Civil Compensation</t>
        </is>
      </c>
      <c r="D342" s="13" t="inlineStr">
        <is>
          <t>Penalties &amp; Enforcement</t>
        </is>
      </c>
    </row>
    <row r="343" ht="20" customHeight="1">
      <c r="A343" s="12" t="inlineStr">
        <is>
          <t>GDPR</t>
        </is>
      </c>
      <c r="B343" s="12" t="inlineStr">
        <is>
          <t>Article-1-Subject-matter</t>
        </is>
      </c>
      <c r="C343" s="13" t="inlineStr">
        <is>
          <t>and objectives</t>
        </is>
      </c>
      <c r="D343" s="13" t="inlineStr">
        <is>
          <t>General Provisions</t>
        </is>
      </c>
    </row>
    <row r="344" ht="20" customHeight="1">
      <c r="A344" s="12" t="inlineStr">
        <is>
          <t>GDPR</t>
        </is>
      </c>
      <c r="B344" s="12" t="inlineStr">
        <is>
          <t>Article-2-Material</t>
        </is>
      </c>
      <c r="C344" s="13" t="inlineStr">
        <is>
          <t>scope</t>
        </is>
      </c>
      <c r="D344" s="13" t="inlineStr">
        <is>
          <t>General Provisions</t>
        </is>
      </c>
    </row>
    <row r="345" ht="20" customHeight="1">
      <c r="A345" s="12" t="inlineStr">
        <is>
          <t>GDPR</t>
        </is>
      </c>
      <c r="B345" s="12" t="inlineStr">
        <is>
          <t>Article-3-Territorial</t>
        </is>
      </c>
      <c r="C345" s="13" t="inlineStr">
        <is>
          <t>scope</t>
        </is>
      </c>
      <c r="D345" s="13" t="inlineStr">
        <is>
          <t>General Provisions</t>
        </is>
      </c>
    </row>
    <row r="346" ht="20" customHeight="1">
      <c r="A346" s="12" t="inlineStr">
        <is>
          <t>GDPR</t>
        </is>
      </c>
      <c r="B346" s="12" t="inlineStr">
        <is>
          <t>Article-4-Definitions</t>
        </is>
      </c>
      <c r="C346" s="13" t="inlineStr">
        <is>
          <t>Article-4 Definitions</t>
        </is>
      </c>
      <c r="D346" s="13" t="inlineStr">
        <is>
          <t>General Provisions</t>
        </is>
      </c>
    </row>
    <row r="347" ht="20" customHeight="1">
      <c r="A347" s="12" t="inlineStr">
        <is>
          <t>GDPR</t>
        </is>
      </c>
      <c r="B347" s="12" t="inlineStr">
        <is>
          <t>Article-5(1)(a)-Lawfulness,</t>
        </is>
      </c>
      <c r="C347" s="13" t="inlineStr">
        <is>
          <t>fairness and transparency</t>
        </is>
      </c>
      <c r="D347" s="13" t="inlineStr">
        <is>
          <t>Principles</t>
        </is>
      </c>
    </row>
    <row r="348" ht="20" customHeight="1">
      <c r="A348" s="12" t="inlineStr">
        <is>
          <t>GDPR</t>
        </is>
      </c>
      <c r="B348" s="12" t="inlineStr">
        <is>
          <t>Article-5(1)(b)-Purpose</t>
        </is>
      </c>
      <c r="C348" s="13" t="inlineStr">
        <is>
          <t>limitation</t>
        </is>
      </c>
      <c r="D348" s="13" t="inlineStr">
        <is>
          <t>Principles</t>
        </is>
      </c>
    </row>
    <row r="349" ht="20" customHeight="1">
      <c r="A349" s="12" t="inlineStr">
        <is>
          <t>GDPR</t>
        </is>
      </c>
      <c r="B349" s="12" t="inlineStr">
        <is>
          <t>Article-5(1)(c)-Data</t>
        </is>
      </c>
      <c r="C349" s="13" t="inlineStr">
        <is>
          <t>minimisation</t>
        </is>
      </c>
      <c r="D349" s="13" t="inlineStr">
        <is>
          <t>Principles</t>
        </is>
      </c>
    </row>
    <row r="350" ht="20" customHeight="1">
      <c r="A350" s="12" t="inlineStr">
        <is>
          <t>GDPR</t>
        </is>
      </c>
      <c r="B350" s="12" t="inlineStr">
        <is>
          <t>Article-5(1)(d)-Accuracy</t>
        </is>
      </c>
      <c r="C350" s="13" t="inlineStr">
        <is>
          <t>Article-5(1)(d) Accuracy</t>
        </is>
      </c>
      <c r="D350" s="13" t="inlineStr">
        <is>
          <t>Principles</t>
        </is>
      </c>
    </row>
    <row r="351" ht="20" customHeight="1">
      <c r="A351" s="12" t="inlineStr">
        <is>
          <t>GDPR</t>
        </is>
      </c>
      <c r="B351" s="12" t="inlineStr">
        <is>
          <t>Article-5(1)(e)-Storage</t>
        </is>
      </c>
      <c r="C351" s="13" t="inlineStr">
        <is>
          <t>limitation</t>
        </is>
      </c>
      <c r="D351" s="13" t="inlineStr">
        <is>
          <t>Principles</t>
        </is>
      </c>
    </row>
    <row r="352" ht="20" customHeight="1">
      <c r="A352" s="12" t="inlineStr">
        <is>
          <t>GDPR</t>
        </is>
      </c>
      <c r="B352" s="12" t="inlineStr">
        <is>
          <t>Article-5(1)(f)-Integrity</t>
        </is>
      </c>
      <c r="C352" s="13" t="inlineStr">
        <is>
          <t>and confidentiality</t>
        </is>
      </c>
      <c r="D352" s="13" t="inlineStr">
        <is>
          <t>Principles</t>
        </is>
      </c>
    </row>
    <row r="353" ht="20" customHeight="1">
      <c r="A353" s="12" t="inlineStr">
        <is>
          <t>GDPR</t>
        </is>
      </c>
      <c r="B353" s="12" t="inlineStr">
        <is>
          <t>Article-5(2)-Accountability</t>
        </is>
      </c>
      <c r="C353" s="13" t="inlineStr">
        <is>
          <t>Article-5(2) Accountability</t>
        </is>
      </c>
      <c r="D353" s="13" t="inlineStr">
        <is>
          <t>Principles</t>
        </is>
      </c>
    </row>
    <row r="354" ht="20" customHeight="1">
      <c r="A354" s="12" t="inlineStr">
        <is>
          <t>GDPR</t>
        </is>
      </c>
      <c r="B354" s="12" t="inlineStr">
        <is>
          <t>Article-6(1)(a)-Lawful</t>
        </is>
      </c>
      <c r="C354" s="13" t="inlineStr">
        <is>
          <t>basis – Consent</t>
        </is>
      </c>
      <c r="D354" s="13" t="inlineStr">
        <is>
          <t>Principles</t>
        </is>
      </c>
    </row>
    <row r="355" ht="20" customHeight="1">
      <c r="A355" s="12" t="inlineStr">
        <is>
          <t>GDPR</t>
        </is>
      </c>
      <c r="B355" s="12" t="inlineStr">
        <is>
          <t>Article-6(1)(b)-Lawful</t>
        </is>
      </c>
      <c r="C355" s="13" t="inlineStr">
        <is>
          <t>basis – Contract</t>
        </is>
      </c>
      <c r="D355" s="13" t="inlineStr">
        <is>
          <t>Principles</t>
        </is>
      </c>
    </row>
    <row r="356" ht="20" customHeight="1">
      <c r="A356" s="12" t="inlineStr">
        <is>
          <t>GDPR</t>
        </is>
      </c>
      <c r="B356" s="12" t="inlineStr">
        <is>
          <t>Article-6(1)(c)-Lawful</t>
        </is>
      </c>
      <c r="C356" s="13" t="inlineStr">
        <is>
          <t>basis – Legal obligation</t>
        </is>
      </c>
      <c r="D356" s="13" t="inlineStr">
        <is>
          <t>Principles</t>
        </is>
      </c>
    </row>
    <row r="357" ht="20" customHeight="1">
      <c r="A357" s="12" t="inlineStr">
        <is>
          <t>GDPR</t>
        </is>
      </c>
      <c r="B357" s="12" t="inlineStr">
        <is>
          <t>Article-6(1)(d)-Lawful</t>
        </is>
      </c>
      <c r="C357" s="13" t="inlineStr">
        <is>
          <t>basis – Vital interests</t>
        </is>
      </c>
      <c r="D357" s="13" t="inlineStr">
        <is>
          <t>Principles</t>
        </is>
      </c>
    </row>
    <row r="358" ht="20" customHeight="1">
      <c r="A358" s="12" t="inlineStr">
        <is>
          <t>GDPR</t>
        </is>
      </c>
      <c r="B358" s="12" t="inlineStr">
        <is>
          <t>Article-6(1)(e)-Lawful</t>
        </is>
      </c>
      <c r="C358" s="13" t="inlineStr">
        <is>
          <t>basis – Public task</t>
        </is>
      </c>
      <c r="D358" s="13" t="inlineStr">
        <is>
          <t>Principles</t>
        </is>
      </c>
    </row>
    <row r="359" ht="20" customHeight="1">
      <c r="A359" s="12" t="inlineStr">
        <is>
          <t>GDPR</t>
        </is>
      </c>
      <c r="B359" s="12" t="inlineStr">
        <is>
          <t>Article-6(1)(f)-Lawful</t>
        </is>
      </c>
      <c r="C359" s="13" t="inlineStr">
        <is>
          <t>basis – Legitimate interests</t>
        </is>
      </c>
      <c r="D359" s="13" t="inlineStr">
        <is>
          <t>Principles</t>
        </is>
      </c>
    </row>
    <row r="360" ht="20" customHeight="1">
      <c r="A360" s="12" t="inlineStr">
        <is>
          <t>GDPR</t>
        </is>
      </c>
      <c r="B360" s="12" t="inlineStr">
        <is>
          <t>Article-7-Conditions</t>
        </is>
      </c>
      <c r="C360" s="13" t="inlineStr">
        <is>
          <t>for consent</t>
        </is>
      </c>
      <c r="D360" s="13" t="inlineStr">
        <is>
          <t>Principles</t>
        </is>
      </c>
    </row>
    <row r="361" ht="20" customHeight="1">
      <c r="A361" s="12" t="inlineStr">
        <is>
          <t>GDPR</t>
        </is>
      </c>
      <c r="B361" s="12" t="inlineStr">
        <is>
          <t>Article-8-Child's</t>
        </is>
      </c>
      <c r="C361" s="13" t="inlineStr">
        <is>
          <t>consent</t>
        </is>
      </c>
      <c r="D361" s="13" t="inlineStr">
        <is>
          <t>Principles</t>
        </is>
      </c>
    </row>
    <row r="362" ht="20" customHeight="1">
      <c r="A362" s="12" t="inlineStr">
        <is>
          <t>GDPR</t>
        </is>
      </c>
      <c r="B362" s="12" t="inlineStr">
        <is>
          <t>Article-9-Special</t>
        </is>
      </c>
      <c r="C362" s="13" t="inlineStr">
        <is>
          <t>categories of personal data</t>
        </is>
      </c>
      <c r="D362" s="13" t="inlineStr">
        <is>
          <t>Principles</t>
        </is>
      </c>
    </row>
    <row r="363" ht="20" customHeight="1">
      <c r="A363" s="12" t="inlineStr">
        <is>
          <t>GDPR</t>
        </is>
      </c>
      <c r="B363" s="12" t="inlineStr">
        <is>
          <t>Article-10-Criminal</t>
        </is>
      </c>
      <c r="C363" s="13" t="inlineStr">
        <is>
          <t>convictions data</t>
        </is>
      </c>
      <c r="D363" s="13" t="inlineStr">
        <is>
          <t>Principles</t>
        </is>
      </c>
    </row>
    <row r="364" ht="20" customHeight="1">
      <c r="A364" s="12" t="inlineStr">
        <is>
          <t>GDPR</t>
        </is>
      </c>
      <c r="B364" s="12" t="inlineStr">
        <is>
          <t>Article-11-Processing</t>
        </is>
      </c>
      <c r="C364" s="13" t="inlineStr">
        <is>
          <t>not requiring identification</t>
        </is>
      </c>
      <c r="D364" s="13" t="inlineStr">
        <is>
          <t>Principles</t>
        </is>
      </c>
    </row>
    <row r="365" ht="20" customHeight="1">
      <c r="A365" s="12" t="inlineStr">
        <is>
          <t>GDPR</t>
        </is>
      </c>
      <c r="B365" s="12" t="inlineStr">
        <is>
          <t>Article-12-Transparent</t>
        </is>
      </c>
      <c r="C365" s="13" t="inlineStr">
        <is>
          <t>information and modalities</t>
        </is>
      </c>
      <c r="D365" s="13" t="inlineStr">
        <is>
          <t>Rights of the Data Subject</t>
        </is>
      </c>
    </row>
    <row r="366" ht="20" customHeight="1">
      <c r="A366" s="12" t="inlineStr">
        <is>
          <t>GDPR</t>
        </is>
      </c>
      <c r="B366" s="12" t="inlineStr">
        <is>
          <t>Article-13-Privacy</t>
        </is>
      </c>
      <c r="C366" s="13" t="inlineStr">
        <is>
          <t>notice – data collected directly</t>
        </is>
      </c>
      <c r="D366" s="13" t="inlineStr">
        <is>
          <t>Rights of the Data Subject</t>
        </is>
      </c>
    </row>
    <row r="367" ht="20" customHeight="1">
      <c r="A367" s="12" t="inlineStr">
        <is>
          <t>GDPR</t>
        </is>
      </c>
      <c r="B367" s="12" t="inlineStr">
        <is>
          <t>Article-14-Privacy</t>
        </is>
      </c>
      <c r="C367" s="13" t="inlineStr">
        <is>
          <t>notice – data not collected directly</t>
        </is>
      </c>
      <c r="D367" s="13" t="inlineStr">
        <is>
          <t>Rights of the Data Subject</t>
        </is>
      </c>
    </row>
    <row r="368" ht="20" customHeight="1">
      <c r="A368" s="12" t="inlineStr">
        <is>
          <t>GDPR</t>
        </is>
      </c>
      <c r="B368" s="12" t="inlineStr">
        <is>
          <t>Article-15-Right</t>
        </is>
      </c>
      <c r="C368" s="13" t="inlineStr">
        <is>
          <t>of access</t>
        </is>
      </c>
      <c r="D368" s="13" t="inlineStr">
        <is>
          <t>Rights of the Data Subject</t>
        </is>
      </c>
    </row>
    <row r="369" ht="20" customHeight="1">
      <c r="A369" s="12" t="inlineStr">
        <is>
          <t>GDPR</t>
        </is>
      </c>
      <c r="B369" s="12" t="inlineStr">
        <is>
          <t>Article-16-Right</t>
        </is>
      </c>
      <c r="C369" s="13" t="inlineStr">
        <is>
          <t>to rectification</t>
        </is>
      </c>
      <c r="D369" s="13" t="inlineStr">
        <is>
          <t>Rights of the Data Subject</t>
        </is>
      </c>
    </row>
    <row r="370" ht="20" customHeight="1">
      <c r="A370" s="12" t="inlineStr">
        <is>
          <t>GDPR</t>
        </is>
      </c>
      <c r="B370" s="12" t="inlineStr">
        <is>
          <t>Article-17-Right</t>
        </is>
      </c>
      <c r="C370" s="13" t="inlineStr">
        <is>
          <t>to erasure</t>
        </is>
      </c>
      <c r="D370" s="13" t="inlineStr">
        <is>
          <t>Rights of the Data Subject</t>
        </is>
      </c>
    </row>
    <row r="371" ht="20" customHeight="1">
      <c r="A371" s="12" t="inlineStr">
        <is>
          <t>GDPR</t>
        </is>
      </c>
      <c r="B371" s="12" t="inlineStr">
        <is>
          <t>Article-18-Right</t>
        </is>
      </c>
      <c r="C371" s="13" t="inlineStr">
        <is>
          <t>to restriction of processing</t>
        </is>
      </c>
      <c r="D371" s="13" t="inlineStr">
        <is>
          <t>Rights of the Data Subject</t>
        </is>
      </c>
    </row>
    <row r="372" ht="20" customHeight="1">
      <c r="A372" s="12" t="inlineStr">
        <is>
          <t>GDPR</t>
        </is>
      </c>
      <c r="B372" s="12" t="inlineStr">
        <is>
          <t>Article-19-Notification</t>
        </is>
      </c>
      <c r="C372" s="13" t="inlineStr">
        <is>
          <t>obligation</t>
        </is>
      </c>
      <c r="D372" s="13" t="inlineStr">
        <is>
          <t>Rights of the Data Subject</t>
        </is>
      </c>
    </row>
    <row r="373" ht="20" customHeight="1">
      <c r="A373" s="12" t="inlineStr">
        <is>
          <t>GDPR</t>
        </is>
      </c>
      <c r="B373" s="12" t="inlineStr">
        <is>
          <t>Article-20-Right</t>
        </is>
      </c>
      <c r="C373" s="13" t="inlineStr">
        <is>
          <t>to data portability</t>
        </is>
      </c>
      <c r="D373" s="13" t="inlineStr">
        <is>
          <t>Rights of the Data Subject</t>
        </is>
      </c>
    </row>
    <row r="374" ht="20" customHeight="1">
      <c r="A374" s="12" t="inlineStr">
        <is>
          <t>GDPR</t>
        </is>
      </c>
      <c r="B374" s="12" t="inlineStr">
        <is>
          <t>Article-21-Right</t>
        </is>
      </c>
      <c r="C374" s="13" t="inlineStr">
        <is>
          <t>to object</t>
        </is>
      </c>
      <c r="D374" s="13" t="inlineStr">
        <is>
          <t>Rights of the Data Subject</t>
        </is>
      </c>
    </row>
    <row r="375" ht="20" customHeight="1">
      <c r="A375" s="12" t="inlineStr">
        <is>
          <t>GDPR</t>
        </is>
      </c>
      <c r="B375" s="12" t="inlineStr">
        <is>
          <t>Article-22-Automated</t>
        </is>
      </c>
      <c r="C375" s="13" t="inlineStr">
        <is>
          <t>individual decision-making, including profiling</t>
        </is>
      </c>
      <c r="D375" s="13" t="inlineStr">
        <is>
          <t>Rights of the Data Subject</t>
        </is>
      </c>
    </row>
    <row r="376" ht="20" customHeight="1">
      <c r="A376" s="12" t="inlineStr">
        <is>
          <t>GDPR</t>
        </is>
      </c>
      <c r="B376" s="12" t="inlineStr">
        <is>
          <t>Article-23-Restrictions</t>
        </is>
      </c>
      <c r="C376" s="13" t="inlineStr">
        <is>
          <t>Article-23 Restrictions</t>
        </is>
      </c>
      <c r="D376" s="13" t="inlineStr">
        <is>
          <t>Rights of the Data Subject</t>
        </is>
      </c>
    </row>
    <row r="377" ht="20" customHeight="1">
      <c r="A377" s="12" t="inlineStr">
        <is>
          <t>GDPR</t>
        </is>
      </c>
      <c r="B377" s="12" t="inlineStr">
        <is>
          <t>Article-24-Responsibility</t>
        </is>
      </c>
      <c r="C377" s="13" t="inlineStr">
        <is>
          <t>of the controller</t>
        </is>
      </c>
      <c r="D377" s="13" t="inlineStr">
        <is>
          <t>Controller and Processor</t>
        </is>
      </c>
    </row>
    <row r="378" ht="20" customHeight="1">
      <c r="A378" s="12" t="inlineStr">
        <is>
          <t>GDPR</t>
        </is>
      </c>
      <c r="B378" s="12" t="inlineStr">
        <is>
          <t>Article-25-Data</t>
        </is>
      </c>
      <c r="C378" s="13" t="inlineStr">
        <is>
          <t>protection by design and by default</t>
        </is>
      </c>
      <c r="D378" s="13" t="inlineStr">
        <is>
          <t>Controller and Processor</t>
        </is>
      </c>
    </row>
    <row r="379" ht="20" customHeight="1">
      <c r="A379" s="12" t="inlineStr">
        <is>
          <t>GDPR</t>
        </is>
      </c>
      <c r="B379" s="12" t="inlineStr">
        <is>
          <t>Article-26-Joint</t>
        </is>
      </c>
      <c r="C379" s="13" t="inlineStr">
        <is>
          <t>controllers</t>
        </is>
      </c>
      <c r="D379" s="13" t="inlineStr">
        <is>
          <t>Controller and Processor</t>
        </is>
      </c>
    </row>
    <row r="380" ht="20" customHeight="1">
      <c r="A380" s="12" t="inlineStr">
        <is>
          <t>GDPR</t>
        </is>
      </c>
      <c r="B380" s="12" t="inlineStr">
        <is>
          <t>Article-27-Representatives</t>
        </is>
      </c>
      <c r="C380" s="13" t="inlineStr">
        <is>
          <t>Article-27 Representatives</t>
        </is>
      </c>
      <c r="D380" s="13" t="inlineStr">
        <is>
          <t>Controller and Processor</t>
        </is>
      </c>
    </row>
    <row r="381" ht="20" customHeight="1">
      <c r="A381" s="12" t="inlineStr">
        <is>
          <t>GDPR</t>
        </is>
      </c>
      <c r="B381" s="12" t="inlineStr">
        <is>
          <t>Article-28-Processor</t>
        </is>
      </c>
      <c r="C381" s="13" t="inlineStr">
        <is>
          <t>obligations and DPAs</t>
        </is>
      </c>
      <c r="D381" s="13" t="inlineStr">
        <is>
          <t>Controller and Processor</t>
        </is>
      </c>
    </row>
    <row r="382" ht="20" customHeight="1">
      <c r="A382" s="12" t="inlineStr">
        <is>
          <t>GDPR</t>
        </is>
      </c>
      <c r="B382" s="12" t="inlineStr">
        <is>
          <t>Article-29-Processing</t>
        </is>
      </c>
      <c r="C382" s="13" t="inlineStr">
        <is>
          <t>under authority</t>
        </is>
      </c>
      <c r="D382" s="13" t="inlineStr">
        <is>
          <t>Controller and Processor</t>
        </is>
      </c>
    </row>
    <row r="383" ht="20" customHeight="1">
      <c r="A383" s="12" t="inlineStr">
        <is>
          <t>GDPR</t>
        </is>
      </c>
      <c r="B383" s="12" t="inlineStr">
        <is>
          <t>Article-30-Records</t>
        </is>
      </c>
      <c r="C383" s="13" t="inlineStr">
        <is>
          <t>of processing activities</t>
        </is>
      </c>
      <c r="D383" s="13" t="inlineStr">
        <is>
          <t>Controller and Processor</t>
        </is>
      </c>
    </row>
    <row r="384" ht="20" customHeight="1">
      <c r="A384" s="12" t="inlineStr">
        <is>
          <t>GDPR</t>
        </is>
      </c>
      <c r="B384" s="12" t="inlineStr">
        <is>
          <t>Article-31-Cooperation</t>
        </is>
      </c>
      <c r="C384" s="13" t="inlineStr">
        <is>
          <t>with supervisory authority</t>
        </is>
      </c>
      <c r="D384" s="13" t="inlineStr">
        <is>
          <t>Controller and Processor</t>
        </is>
      </c>
    </row>
    <row r="385" ht="20" customHeight="1">
      <c r="A385" s="12" t="inlineStr">
        <is>
          <t>GDPR</t>
        </is>
      </c>
      <c r="B385" s="12" t="inlineStr">
        <is>
          <t>Article-32-Security</t>
        </is>
      </c>
      <c r="C385" s="13" t="inlineStr">
        <is>
          <t>of processing</t>
        </is>
      </c>
      <c r="D385" s="13" t="inlineStr">
        <is>
          <t>Security of Processing</t>
        </is>
      </c>
    </row>
    <row r="386" ht="20" customHeight="1">
      <c r="A386" s="12" t="inlineStr">
        <is>
          <t>GDPR</t>
        </is>
      </c>
      <c r="B386" s="12" t="inlineStr">
        <is>
          <t>Article-33-Notification</t>
        </is>
      </c>
      <c r="C386" s="13" t="inlineStr">
        <is>
          <t>to supervisory authority</t>
        </is>
      </c>
      <c r="D386" s="13" t="inlineStr">
        <is>
          <t>Breach Notification</t>
        </is>
      </c>
    </row>
    <row r="387" ht="20" customHeight="1">
      <c r="A387" s="12" t="inlineStr">
        <is>
          <t>GDPR</t>
        </is>
      </c>
      <c r="B387" s="12" t="inlineStr">
        <is>
          <t>Article-34-Communication</t>
        </is>
      </c>
      <c r="C387" s="13" t="inlineStr">
        <is>
          <t>to data subjects</t>
        </is>
      </c>
      <c r="D387" s="13" t="inlineStr">
        <is>
          <t>Breach Notification</t>
        </is>
      </c>
    </row>
    <row r="388" ht="20" customHeight="1">
      <c r="A388" s="12" t="inlineStr">
        <is>
          <t>GDPR</t>
        </is>
      </c>
      <c r="B388" s="12" t="inlineStr">
        <is>
          <t>Article-35-Data</t>
        </is>
      </c>
      <c r="C388" s="13" t="inlineStr">
        <is>
          <t>protection impact assessment</t>
        </is>
      </c>
      <c r="D388" s="13" t="inlineStr">
        <is>
          <t>DPIA and DPO</t>
        </is>
      </c>
    </row>
    <row r="389" ht="20" customHeight="1">
      <c r="A389" s="12" t="inlineStr">
        <is>
          <t>GDPR</t>
        </is>
      </c>
      <c r="B389" s="12" t="inlineStr">
        <is>
          <t>Article-36-Prior</t>
        </is>
      </c>
      <c r="C389" s="13" t="inlineStr">
        <is>
          <t>consultation</t>
        </is>
      </c>
      <c r="D389" s="13" t="inlineStr">
        <is>
          <t>DPIA and DPO</t>
        </is>
      </c>
    </row>
    <row r="390" ht="20" customHeight="1">
      <c r="A390" s="12" t="inlineStr">
        <is>
          <t>GDPR</t>
        </is>
      </c>
      <c r="B390" s="12" t="inlineStr">
        <is>
          <t>Article-37-Designation</t>
        </is>
      </c>
      <c r="C390" s="13" t="inlineStr">
        <is>
          <t>of DPO</t>
        </is>
      </c>
      <c r="D390" s="13" t="inlineStr">
        <is>
          <t>DPIA and DPO</t>
        </is>
      </c>
    </row>
    <row r="391" ht="20" customHeight="1">
      <c r="A391" s="12" t="inlineStr">
        <is>
          <t>GDPR</t>
        </is>
      </c>
      <c r="B391" s="12" t="inlineStr">
        <is>
          <t>Article-38-Position</t>
        </is>
      </c>
      <c r="C391" s="13" t="inlineStr">
        <is>
          <t>of DPO</t>
        </is>
      </c>
      <c r="D391" s="13" t="inlineStr">
        <is>
          <t>DPIA and DPO</t>
        </is>
      </c>
    </row>
    <row r="392" ht="20" customHeight="1">
      <c r="A392" s="12" t="inlineStr">
        <is>
          <t>GDPR</t>
        </is>
      </c>
      <c r="B392" s="12" t="inlineStr">
        <is>
          <t>Article-39-Tasks</t>
        </is>
      </c>
      <c r="C392" s="13" t="inlineStr">
        <is>
          <t>of the DPO</t>
        </is>
      </c>
      <c r="D392" s="13" t="inlineStr">
        <is>
          <t>DPIA and DPO</t>
        </is>
      </c>
    </row>
    <row r="393" ht="20" customHeight="1">
      <c r="A393" s="12" t="inlineStr">
        <is>
          <t>GDPR</t>
        </is>
      </c>
      <c r="B393" s="12" t="inlineStr">
        <is>
          <t>Article-40-Codes</t>
        </is>
      </c>
      <c r="C393" s="13" t="inlineStr">
        <is>
          <t>of conduct</t>
        </is>
      </c>
      <c r="D393" s="13" t="inlineStr">
        <is>
          <t>DPIA and DPO</t>
        </is>
      </c>
    </row>
    <row r="394" ht="20" customHeight="1">
      <c r="A394" s="12" t="inlineStr">
        <is>
          <t>GDPR</t>
        </is>
      </c>
      <c r="B394" s="12" t="inlineStr">
        <is>
          <t>Article-42-Certification</t>
        </is>
      </c>
      <c r="C394" s="13" t="inlineStr">
        <is>
          <t>Article-42 Certification</t>
        </is>
      </c>
      <c r="D394" s="13" t="inlineStr">
        <is>
          <t>DPIA and DPO</t>
        </is>
      </c>
    </row>
    <row r="395" ht="20" customHeight="1">
      <c r="A395" s="12" t="inlineStr">
        <is>
          <t>GDPR</t>
        </is>
      </c>
      <c r="B395" s="12" t="inlineStr">
        <is>
          <t>Article-44-General</t>
        </is>
      </c>
      <c r="C395" s="13" t="inlineStr">
        <is>
          <t>principle for transfers</t>
        </is>
      </c>
      <c r="D395" s="13" t="inlineStr">
        <is>
          <t>International Transfers</t>
        </is>
      </c>
    </row>
    <row r="396" ht="20" customHeight="1">
      <c r="A396" s="12" t="inlineStr">
        <is>
          <t>GDPR</t>
        </is>
      </c>
      <c r="B396" s="12" t="inlineStr">
        <is>
          <t>Article-45-Adequacy</t>
        </is>
      </c>
      <c r="C396" s="13" t="inlineStr">
        <is>
          <t>decision</t>
        </is>
      </c>
      <c r="D396" s="13" t="inlineStr">
        <is>
          <t>International Transfers</t>
        </is>
      </c>
    </row>
    <row r="397" ht="20" customHeight="1">
      <c r="A397" s="12" t="inlineStr">
        <is>
          <t>GDPR</t>
        </is>
      </c>
      <c r="B397" s="12" t="inlineStr">
        <is>
          <t>Article-46-Appropriate</t>
        </is>
      </c>
      <c r="C397" s="13" t="inlineStr">
        <is>
          <t>safeguards</t>
        </is>
      </c>
      <c r="D397" s="13" t="inlineStr">
        <is>
          <t>International Transfers</t>
        </is>
      </c>
    </row>
    <row r="398" ht="20" customHeight="1">
      <c r="A398" s="12" t="inlineStr">
        <is>
          <t>GDPR</t>
        </is>
      </c>
      <c r="B398" s="12" t="inlineStr">
        <is>
          <t>Article-47-Binding</t>
        </is>
      </c>
      <c r="C398" s="13" t="inlineStr">
        <is>
          <t>corporate rules</t>
        </is>
      </c>
      <c r="D398" s="13" t="inlineStr">
        <is>
          <t>International Transfers</t>
        </is>
      </c>
    </row>
    <row r="399" ht="20" customHeight="1">
      <c r="A399" s="12" t="inlineStr">
        <is>
          <t>GDPR</t>
        </is>
      </c>
      <c r="B399" s="12" t="inlineStr">
        <is>
          <t>Article-49-Derogations</t>
        </is>
      </c>
      <c r="C399" s="13" t="inlineStr">
        <is>
          <t>Article-49 Derogations</t>
        </is>
      </c>
      <c r="D399" s="13" t="inlineStr">
        <is>
          <t>International Transfers</t>
        </is>
      </c>
    </row>
    <row r="400" ht="20" customHeight="1">
      <c r="A400" s="12" t="inlineStr">
        <is>
          <t>GDPR</t>
        </is>
      </c>
      <c r="B400" s="12" t="inlineStr">
        <is>
          <t>Article-77-Right</t>
        </is>
      </c>
      <c r="C400" s="13" t="inlineStr">
        <is>
          <t>to lodge a complaint</t>
        </is>
      </c>
      <c r="D400" s="13" t="inlineStr">
        <is>
          <t>Remedies, Liability and Penalties</t>
        </is>
      </c>
    </row>
    <row r="401" ht="20" customHeight="1">
      <c r="A401" s="12" t="inlineStr">
        <is>
          <t>GDPR</t>
        </is>
      </c>
      <c r="B401" s="12" t="inlineStr">
        <is>
          <t>Article-78-Right</t>
        </is>
      </c>
      <c r="C401" s="13" t="inlineStr">
        <is>
          <t>to judicial remedy against supervisory authority</t>
        </is>
      </c>
      <c r="D401" s="13" t="inlineStr">
        <is>
          <t>Remedies, Liability and Penalties</t>
        </is>
      </c>
    </row>
    <row r="402" ht="20" customHeight="1">
      <c r="A402" s="12" t="inlineStr">
        <is>
          <t>GDPR</t>
        </is>
      </c>
      <c r="B402" s="12" t="inlineStr">
        <is>
          <t>Article-79-Right</t>
        </is>
      </c>
      <c r="C402" s="13" t="inlineStr">
        <is>
          <t>to judicial remedy against controller or processor</t>
        </is>
      </c>
      <c r="D402" s="13" t="inlineStr">
        <is>
          <t>Remedies, Liability and Penalties</t>
        </is>
      </c>
    </row>
    <row r="403" ht="20" customHeight="1">
      <c r="A403" s="12" t="inlineStr">
        <is>
          <t>GDPR</t>
        </is>
      </c>
      <c r="B403" s="12" t="inlineStr">
        <is>
          <t>Article-80-Representation</t>
        </is>
      </c>
      <c r="C403" s="13" t="inlineStr">
        <is>
          <t>of data subjects</t>
        </is>
      </c>
      <c r="D403" s="13" t="inlineStr">
        <is>
          <t>Remedies, Liability and Penalties</t>
        </is>
      </c>
    </row>
    <row r="404" ht="20" customHeight="1">
      <c r="A404" s="12" t="inlineStr">
        <is>
          <t>GDPR</t>
        </is>
      </c>
      <c r="B404" s="12" t="inlineStr">
        <is>
          <t>Article-81-Suspension</t>
        </is>
      </c>
      <c r="C404" s="13" t="inlineStr">
        <is>
          <t>of proceedings</t>
        </is>
      </c>
      <c r="D404" s="13" t="inlineStr">
        <is>
          <t>Remedies, Liability and Penalties</t>
        </is>
      </c>
    </row>
    <row r="405" ht="20" customHeight="1">
      <c r="A405" s="12" t="inlineStr">
        <is>
          <t>GDPR</t>
        </is>
      </c>
      <c r="B405" s="12" t="inlineStr">
        <is>
          <t>Article-82-Right</t>
        </is>
      </c>
      <c r="C405" s="13" t="inlineStr">
        <is>
          <t>to compensation</t>
        </is>
      </c>
      <c r="D405" s="13" t="inlineStr">
        <is>
          <t>Remedies, Liability and Penalties</t>
        </is>
      </c>
    </row>
    <row r="406" ht="20" customHeight="1">
      <c r="A406" s="12" t="inlineStr">
        <is>
          <t>GDPR</t>
        </is>
      </c>
      <c r="B406" s="12" t="inlineStr">
        <is>
          <t>Article-83-Administrative</t>
        </is>
      </c>
      <c r="C406" s="13" t="inlineStr">
        <is>
          <t>fines</t>
        </is>
      </c>
      <c r="D406" s="13" t="inlineStr">
        <is>
          <t>Remedies, Liability and Penalties</t>
        </is>
      </c>
    </row>
    <row r="407" ht="20" customHeight="1">
      <c r="A407" s="12" t="inlineStr">
        <is>
          <t>GDPR</t>
        </is>
      </c>
      <c r="B407" s="12" t="inlineStr">
        <is>
          <t>Article-84-Penalties</t>
        </is>
      </c>
      <c r="C407" s="13" t="inlineStr">
        <is>
          <t>Article-84 Penalties</t>
        </is>
      </c>
      <c r="D407" s="13" t="inlineStr">
        <is>
          <t>Remedies, Liability and Penalties</t>
        </is>
      </c>
    </row>
    <row r="408" ht="20" customHeight="1">
      <c r="A408" s="12" t="inlineStr">
        <is>
          <t>GDPR</t>
        </is>
      </c>
      <c r="B408" s="12" t="inlineStr">
        <is>
          <t>Article-85-Journalistic</t>
        </is>
      </c>
      <c r="C408" s="13" t="inlineStr">
        <is>
          <t>and academic purposes</t>
        </is>
      </c>
      <c r="D408" s="13" t="inlineStr">
        <is>
          <t>Specific Processing Situations</t>
        </is>
      </c>
    </row>
    <row r="409" ht="20" customHeight="1">
      <c r="A409" s="12" t="inlineStr">
        <is>
          <t>GDPR</t>
        </is>
      </c>
      <c r="B409" s="12" t="inlineStr">
        <is>
          <t>Article-86-Processing</t>
        </is>
      </c>
      <c r="C409" s="13" t="inlineStr">
        <is>
          <t>and public access to documents</t>
        </is>
      </c>
      <c r="D409" s="13" t="inlineStr">
        <is>
          <t>Specific Processing Situations</t>
        </is>
      </c>
    </row>
    <row r="410" ht="20" customHeight="1">
      <c r="A410" s="12" t="inlineStr">
        <is>
          <t>GDPR</t>
        </is>
      </c>
      <c r="B410" s="12" t="inlineStr">
        <is>
          <t>Article-87-Processing</t>
        </is>
      </c>
      <c r="C410" s="13" t="inlineStr">
        <is>
          <t>of national identification numbers</t>
        </is>
      </c>
      <c r="D410" s="13" t="inlineStr">
        <is>
          <t>Specific Processing Situations</t>
        </is>
      </c>
    </row>
    <row r="411" ht="20" customHeight="1">
      <c r="A411" s="12" t="inlineStr">
        <is>
          <t>GDPR</t>
        </is>
      </c>
      <c r="B411" s="12" t="inlineStr">
        <is>
          <t>Article-88-Employment</t>
        </is>
      </c>
      <c r="C411" s="13" t="inlineStr">
        <is>
          <t>context</t>
        </is>
      </c>
      <c r="D411" s="13" t="inlineStr">
        <is>
          <t>Specific Processing Situations</t>
        </is>
      </c>
    </row>
    <row r="412" ht="20" customHeight="1">
      <c r="A412" s="12" t="inlineStr">
        <is>
          <t>GDPR</t>
        </is>
      </c>
      <c r="B412" s="12" t="inlineStr">
        <is>
          <t>Article-89-Archiving</t>
        </is>
      </c>
      <c r="C412" s="13" t="inlineStr">
        <is>
          <t>and research</t>
        </is>
      </c>
      <c r="D412" s="13" t="inlineStr">
        <is>
          <t>Specific Processing Situations</t>
        </is>
      </c>
    </row>
    <row r="413" ht="20" customHeight="1">
      <c r="A413" s="12" t="inlineStr">
        <is>
          <t>GDPR</t>
        </is>
      </c>
      <c r="B413" s="12" t="inlineStr">
        <is>
          <t>Article-90-Obligations</t>
        </is>
      </c>
      <c r="C413" s="13" t="inlineStr">
        <is>
          <t>of secrecy</t>
        </is>
      </c>
      <c r="D413" s="13" t="inlineStr">
        <is>
          <t>Specific Processing Situations</t>
        </is>
      </c>
    </row>
    <row r="414" ht="20" customHeight="1">
      <c r="A414" s="12" t="inlineStr">
        <is>
          <t>GDPR</t>
        </is>
      </c>
      <c r="B414" s="12" t="inlineStr">
        <is>
          <t>Article-91-Existing</t>
        </is>
      </c>
      <c r="C414" s="13" t="inlineStr">
        <is>
          <t>data protection rules of churches</t>
        </is>
      </c>
      <c r="D414" s="13" t="inlineStr">
        <is>
          <t>Specific Processing Situations</t>
        </is>
      </c>
    </row>
    <row r="415" ht="20" customHeight="1">
      <c r="A415" s="12" t="inlineStr">
        <is>
          <t>GDPR</t>
        </is>
      </c>
      <c r="B415" s="12" t="inlineStr">
        <is>
          <t>Article-51-Supervisory</t>
        </is>
      </c>
      <c r="C415" s="13" t="inlineStr">
        <is>
          <t>authority – establishment</t>
        </is>
      </c>
      <c r="D415" s="13" t="inlineStr">
        <is>
          <t>Supervisory Authorities &amp; Enforcement</t>
        </is>
      </c>
    </row>
    <row r="416" ht="20" customHeight="1">
      <c r="A416" s="12" t="inlineStr">
        <is>
          <t>GDPR</t>
        </is>
      </c>
      <c r="B416" s="12" t="inlineStr">
        <is>
          <t>Article-52-Independence</t>
        </is>
      </c>
      <c r="C416" s="13" t="inlineStr">
        <is>
          <t>of supervisory authority</t>
        </is>
      </c>
      <c r="D416" s="13" t="inlineStr">
        <is>
          <t>Supervisory Authorities &amp; Enforcement</t>
        </is>
      </c>
    </row>
    <row r="417" ht="20" customHeight="1">
      <c r="A417" s="12" t="inlineStr">
        <is>
          <t>GDPR</t>
        </is>
      </c>
      <c r="B417" s="12" t="inlineStr">
        <is>
          <t>Article-53-General</t>
        </is>
      </c>
      <c r="C417" s="13" t="inlineStr">
        <is>
          <t>conditions for members of supervisory authority</t>
        </is>
      </c>
      <c r="D417" s="13" t="inlineStr">
        <is>
          <t>Supervisory Authorities &amp; Enforcement</t>
        </is>
      </c>
    </row>
    <row r="418" ht="20" customHeight="1">
      <c r="A418" s="12" t="inlineStr">
        <is>
          <t>GDPR</t>
        </is>
      </c>
      <c r="B418" s="12" t="inlineStr">
        <is>
          <t>Article-54-Rules</t>
        </is>
      </c>
      <c r="C418" s="13" t="inlineStr">
        <is>
          <t>on establishment of supervisory authority</t>
        </is>
      </c>
      <c r="D418" s="13" t="inlineStr">
        <is>
          <t>Supervisory Authorities &amp; Enforcement</t>
        </is>
      </c>
    </row>
    <row r="419" ht="20" customHeight="1">
      <c r="A419" s="12" t="inlineStr">
        <is>
          <t>GDPR</t>
        </is>
      </c>
      <c r="B419" s="12" t="inlineStr">
        <is>
          <t>Article-55-Competence</t>
        </is>
      </c>
      <c r="C419" s="13" t="inlineStr">
        <is>
          <t>of supervisory authority</t>
        </is>
      </c>
      <c r="D419" s="13" t="inlineStr">
        <is>
          <t>Supervisory Authorities &amp; Enforcement</t>
        </is>
      </c>
    </row>
    <row r="420" ht="20" customHeight="1">
      <c r="A420" s="12" t="inlineStr">
        <is>
          <t>GDPR</t>
        </is>
      </c>
      <c r="B420" s="12" t="inlineStr">
        <is>
          <t>Article-56-Competence</t>
        </is>
      </c>
      <c r="C420" s="13" t="inlineStr">
        <is>
          <t>of lead supervisory authority</t>
        </is>
      </c>
      <c r="D420" s="13" t="inlineStr">
        <is>
          <t>Supervisory Authorities &amp; Enforcement</t>
        </is>
      </c>
    </row>
    <row r="421" ht="20" customHeight="1">
      <c r="A421" s="12" t="inlineStr">
        <is>
          <t>GDPR</t>
        </is>
      </c>
      <c r="B421" s="12" t="inlineStr">
        <is>
          <t>Article-57-Tasks</t>
        </is>
      </c>
      <c r="C421" s="13" t="inlineStr">
        <is>
          <t>of the supervisory authority</t>
        </is>
      </c>
      <c r="D421" s="13" t="inlineStr">
        <is>
          <t>Supervisory Authorities &amp; Enforcement</t>
        </is>
      </c>
    </row>
    <row r="422" ht="20" customHeight="1">
      <c r="A422" s="12" t="inlineStr">
        <is>
          <t>GDPR</t>
        </is>
      </c>
      <c r="B422" s="12" t="inlineStr">
        <is>
          <t>Article-58-Powers</t>
        </is>
      </c>
      <c r="C422" s="13" t="inlineStr">
        <is>
          <t>of the supervisory authority</t>
        </is>
      </c>
      <c r="D422" s="13" t="inlineStr">
        <is>
          <t>Supervisory Authorities &amp; Enforcement</t>
        </is>
      </c>
    </row>
    <row r="423" ht="20" customHeight="1">
      <c r="A423" s="12" t="inlineStr">
        <is>
          <t>GDPR</t>
        </is>
      </c>
      <c r="B423" s="12" t="inlineStr">
        <is>
          <t>Article-59-Activity</t>
        </is>
      </c>
      <c r="C423" s="13" t="inlineStr">
        <is>
          <t>reports of supervisory authority</t>
        </is>
      </c>
      <c r="D423" s="13" t="inlineStr">
        <is>
          <t>Supervisory Authorities &amp; Enforcement</t>
        </is>
      </c>
    </row>
    <row r="424" ht="20" customHeight="1">
      <c r="A424" s="12" t="inlineStr">
        <is>
          <t>GDPR</t>
        </is>
      </c>
      <c r="B424" s="12" t="inlineStr">
        <is>
          <t>Article-60-One-stop-shop</t>
        </is>
      </c>
      <c r="C424" s="13" t="inlineStr">
        <is>
          <t>mechanism</t>
        </is>
      </c>
      <c r="D424" s="13" t="inlineStr">
        <is>
          <t>Supervisory Authorities &amp; Enforcement</t>
        </is>
      </c>
    </row>
    <row r="425" ht="20" customHeight="1">
      <c r="A425" s="12" t="inlineStr">
        <is>
          <t>GDPR</t>
        </is>
      </c>
      <c r="B425" s="12" t="inlineStr">
        <is>
          <t>Article-61-Mutual</t>
        </is>
      </c>
      <c r="C425" s="13" t="inlineStr">
        <is>
          <t>assistance</t>
        </is>
      </c>
      <c r="D425" s="13" t="inlineStr">
        <is>
          <t>Supervisory Authorities &amp; Enforcement</t>
        </is>
      </c>
    </row>
    <row r="426" ht="20" customHeight="1">
      <c r="A426" s="12" t="inlineStr">
        <is>
          <t>GDPR</t>
        </is>
      </c>
      <c r="B426" s="12" t="inlineStr">
        <is>
          <t>Article-62-Joint</t>
        </is>
      </c>
      <c r="C426" s="13" t="inlineStr">
        <is>
          <t>operations of supervisory authorities</t>
        </is>
      </c>
      <c r="D426" s="13" t="inlineStr">
        <is>
          <t>Supervisory Authorities &amp; Enforcement</t>
        </is>
      </c>
    </row>
    <row r="427" ht="20" customHeight="1">
      <c r="A427" s="12" t="inlineStr">
        <is>
          <t>GDPR</t>
        </is>
      </c>
      <c r="B427" s="12" t="inlineStr">
        <is>
          <t>Article-63-Consistency</t>
        </is>
      </c>
      <c r="C427" s="13" t="inlineStr">
        <is>
          <t>mechanism</t>
        </is>
      </c>
      <c r="D427" s="13" t="inlineStr">
        <is>
          <t>Supervisory Authorities &amp; Enforcement</t>
        </is>
      </c>
    </row>
    <row r="428" ht="20" customHeight="1">
      <c r="A428" s="12" t="inlineStr">
        <is>
          <t>GDPR</t>
        </is>
      </c>
      <c r="B428" s="12" t="inlineStr">
        <is>
          <t>Article-64-Opinion</t>
        </is>
      </c>
      <c r="C428" s="13" t="inlineStr">
        <is>
          <t>of the board</t>
        </is>
      </c>
      <c r="D428" s="13" t="inlineStr">
        <is>
          <t>Supervisory Authorities &amp; Enforcement</t>
        </is>
      </c>
    </row>
    <row r="429" ht="20" customHeight="1">
      <c r="A429" s="12" t="inlineStr">
        <is>
          <t>GDPR</t>
        </is>
      </c>
      <c r="B429" s="12" t="inlineStr">
        <is>
          <t>Article-65-Dispute</t>
        </is>
      </c>
      <c r="C429" s="13" t="inlineStr">
        <is>
          <t>resolution by the board</t>
        </is>
      </c>
      <c r="D429" s="13" t="inlineStr">
        <is>
          <t>Supervisory Authorities &amp; Enforcement</t>
        </is>
      </c>
    </row>
    <row r="430" ht="20" customHeight="1">
      <c r="A430" s="12" t="inlineStr">
        <is>
          <t>GDPR</t>
        </is>
      </c>
      <c r="B430" s="12" t="inlineStr">
        <is>
          <t>Article-66-Urgency</t>
        </is>
      </c>
      <c r="C430" s="13" t="inlineStr">
        <is>
          <t>procedure</t>
        </is>
      </c>
      <c r="D430" s="13" t="inlineStr">
        <is>
          <t>Supervisory Authorities &amp; Enforcement</t>
        </is>
      </c>
    </row>
    <row r="431" ht="20" customHeight="1">
      <c r="A431" s="12" t="inlineStr">
        <is>
          <t>GDPR</t>
        </is>
      </c>
      <c r="B431" s="12" t="inlineStr">
        <is>
          <t>Article-67-Exchange</t>
        </is>
      </c>
      <c r="C431" s="13" t="inlineStr">
        <is>
          <t>of information</t>
        </is>
      </c>
      <c r="D431" s="13" t="inlineStr">
        <is>
          <t>Supervisory Authorities &amp; Enforcement</t>
        </is>
      </c>
    </row>
    <row r="432" ht="20" customHeight="1">
      <c r="A432" s="12" t="inlineStr">
        <is>
          <t>GDPR</t>
        </is>
      </c>
      <c r="B432" s="12" t="inlineStr">
        <is>
          <t>Article-68-European</t>
        </is>
      </c>
      <c r="C432" s="13" t="inlineStr">
        <is>
          <t>data protection board</t>
        </is>
      </c>
      <c r="D432" s="13" t="inlineStr">
        <is>
          <t>Supervisory Authorities &amp; Enforcement</t>
        </is>
      </c>
    </row>
    <row r="433" ht="20" customHeight="1">
      <c r="A433" s="12" t="inlineStr">
        <is>
          <t>GDPR</t>
        </is>
      </c>
      <c r="B433" s="12" t="inlineStr">
        <is>
          <t>Article-69-Independence</t>
        </is>
      </c>
      <c r="C433" s="13" t="inlineStr">
        <is>
          <t>of the board</t>
        </is>
      </c>
      <c r="D433" s="13" t="inlineStr">
        <is>
          <t>Supervisory Authorities &amp; Enforcement</t>
        </is>
      </c>
    </row>
    <row r="434" ht="20" customHeight="1">
      <c r="A434" s="12" t="inlineStr">
        <is>
          <t>GDPR</t>
        </is>
      </c>
      <c r="B434" s="12" t="inlineStr">
        <is>
          <t>Article-70-Tasks</t>
        </is>
      </c>
      <c r="C434" s="13" t="inlineStr">
        <is>
          <t>of the board</t>
        </is>
      </c>
      <c r="D434" s="13" t="inlineStr">
        <is>
          <t>Supervisory Authorities &amp; Enforcement</t>
        </is>
      </c>
    </row>
    <row r="435" ht="20" customHeight="1">
      <c r="A435" s="12" t="inlineStr">
        <is>
          <t>GDPR</t>
        </is>
      </c>
      <c r="B435" s="12" t="inlineStr">
        <is>
          <t>Article-71-Reports</t>
        </is>
      </c>
      <c r="C435" s="13" t="inlineStr">
        <is>
          <t>Article-71 Reports</t>
        </is>
      </c>
      <c r="D435" s="13" t="inlineStr">
        <is>
          <t>Supervisory Authorities &amp; Enforcement</t>
        </is>
      </c>
    </row>
    <row r="436" ht="20" customHeight="1">
      <c r="A436" s="12" t="inlineStr">
        <is>
          <t>GDPR</t>
        </is>
      </c>
      <c r="B436" s="12" t="inlineStr">
        <is>
          <t>Article-72-Procedure</t>
        </is>
      </c>
      <c r="C436" s="13" t="inlineStr">
        <is>
          <t>Article-72 Procedure</t>
        </is>
      </c>
      <c r="D436" s="13" t="inlineStr">
        <is>
          <t>Supervisory Authorities &amp; Enforcement</t>
        </is>
      </c>
    </row>
    <row r="437" ht="20" customHeight="1">
      <c r="A437" s="12" t="inlineStr">
        <is>
          <t>GDPR</t>
        </is>
      </c>
      <c r="B437" s="12" t="inlineStr">
        <is>
          <t>Article-73-Chair</t>
        </is>
      </c>
      <c r="C437" s="13" t="inlineStr">
        <is>
          <t>Article-73 Chair</t>
        </is>
      </c>
      <c r="D437" s="13" t="inlineStr">
        <is>
          <t>Supervisory Authorities &amp; Enforcement</t>
        </is>
      </c>
    </row>
    <row r="438" ht="20" customHeight="1">
      <c r="A438" s="12" t="inlineStr">
        <is>
          <t>GDPR</t>
        </is>
      </c>
      <c r="B438" s="12" t="inlineStr">
        <is>
          <t>Article-74-Tasks</t>
        </is>
      </c>
      <c r="C438" s="13" t="inlineStr">
        <is>
          <t>of the chair</t>
        </is>
      </c>
      <c r="D438" s="13" t="inlineStr">
        <is>
          <t>Supervisory Authorities &amp; Enforcement</t>
        </is>
      </c>
    </row>
    <row r="439" ht="20" customHeight="1">
      <c r="A439" s="12" t="inlineStr">
        <is>
          <t>GDPR</t>
        </is>
      </c>
      <c r="B439" s="12" t="inlineStr">
        <is>
          <t>Article-75-Secretariat</t>
        </is>
      </c>
      <c r="C439" s="13" t="inlineStr">
        <is>
          <t>Article-75 Secretariat</t>
        </is>
      </c>
      <c r="D439" s="13" t="inlineStr">
        <is>
          <t>Supervisory Authorities &amp; Enforcement</t>
        </is>
      </c>
    </row>
    <row r="440" ht="20" customHeight="1">
      <c r="A440" s="12" t="inlineStr">
        <is>
          <t>GDPR</t>
        </is>
      </c>
      <c r="B440" s="12" t="inlineStr">
        <is>
          <t>Article-76-Confidentiality</t>
        </is>
      </c>
      <c r="C440" s="13" t="inlineStr">
        <is>
          <t>Article-76 Confidentiality</t>
        </is>
      </c>
      <c r="D440" s="13" t="inlineStr">
        <is>
          <t>Supervisory Authorities &amp; Enforcement</t>
        </is>
      </c>
    </row>
    <row r="441" ht="20" customHeight="1">
      <c r="A441" s="12" t="inlineStr">
        <is>
          <t>GDPR</t>
        </is>
      </c>
      <c r="B441" s="12" t="inlineStr">
        <is>
          <t>Article-92-Exercise</t>
        </is>
      </c>
      <c r="C441" s="13" t="inlineStr">
        <is>
          <t>of delegation</t>
        </is>
      </c>
      <c r="D441" s="13" t="inlineStr">
        <is>
          <t>Delegated Acts &amp; Final Provisions</t>
        </is>
      </c>
    </row>
    <row r="442" ht="20" customHeight="1">
      <c r="A442" s="12" t="inlineStr">
        <is>
          <t>GDPR</t>
        </is>
      </c>
      <c r="B442" s="12" t="inlineStr">
        <is>
          <t>Article-93-Committee</t>
        </is>
      </c>
      <c r="C442" s="13" t="inlineStr">
        <is>
          <t>procedure</t>
        </is>
      </c>
      <c r="D442" s="13" t="inlineStr">
        <is>
          <t>Delegated Acts &amp; Final Provisions</t>
        </is>
      </c>
    </row>
    <row r="443" ht="20" customHeight="1">
      <c r="A443" s="12" t="inlineStr">
        <is>
          <t>GDPR</t>
        </is>
      </c>
      <c r="B443" s="12" t="inlineStr">
        <is>
          <t>Article-94-Repeal</t>
        </is>
      </c>
      <c r="C443" s="13" t="inlineStr">
        <is>
          <t>of Directive 95/46/EC</t>
        </is>
      </c>
      <c r="D443" s="13" t="inlineStr">
        <is>
          <t>Delegated Acts &amp; Final Provisions</t>
        </is>
      </c>
    </row>
    <row r="444" ht="20" customHeight="1">
      <c r="A444" s="12" t="inlineStr">
        <is>
          <t>GDPR</t>
        </is>
      </c>
      <c r="B444" s="12" t="inlineStr">
        <is>
          <t>Article-95-Relationship</t>
        </is>
      </c>
      <c r="C444" s="13" t="inlineStr">
        <is>
          <t>with Directive 2002/58/EC</t>
        </is>
      </c>
      <c r="D444" s="13" t="inlineStr">
        <is>
          <t>Delegated Acts &amp; Final Provisions</t>
        </is>
      </c>
    </row>
    <row r="445" ht="20" customHeight="1">
      <c r="A445" s="12" t="inlineStr">
        <is>
          <t>GDPR</t>
        </is>
      </c>
      <c r="B445" s="12" t="inlineStr">
        <is>
          <t>Article-96-Relationship</t>
        </is>
      </c>
      <c r="C445" s="13" t="inlineStr">
        <is>
          <t>with previously concluded agreements</t>
        </is>
      </c>
      <c r="D445" s="13" t="inlineStr">
        <is>
          <t>Delegated Acts &amp; Final Provisions</t>
        </is>
      </c>
    </row>
    <row r="446" ht="20" customHeight="1">
      <c r="A446" s="12" t="inlineStr">
        <is>
          <t>GDPR</t>
        </is>
      </c>
      <c r="B446" s="12" t="inlineStr">
        <is>
          <t>Article-97-Commission</t>
        </is>
      </c>
      <c r="C446" s="13" t="inlineStr">
        <is>
          <t>reports</t>
        </is>
      </c>
      <c r="D446" s="13" t="inlineStr">
        <is>
          <t>Delegated Acts &amp; Final Provisions</t>
        </is>
      </c>
    </row>
    <row r="447" ht="20" customHeight="1">
      <c r="A447" s="12" t="inlineStr">
        <is>
          <t>GDPR</t>
        </is>
      </c>
      <c r="B447" s="12" t="inlineStr">
        <is>
          <t>Article-98-Review</t>
        </is>
      </c>
      <c r="C447" s="13" t="inlineStr">
        <is>
          <t>of other Union legal acts on data protection</t>
        </is>
      </c>
      <c r="D447" s="13" t="inlineStr">
        <is>
          <t>Delegated Acts &amp; Final Provisions</t>
        </is>
      </c>
    </row>
    <row r="448" ht="20" customHeight="1">
      <c r="A448" s="12" t="inlineStr">
        <is>
          <t>GDPR</t>
        </is>
      </c>
      <c r="B448" s="12" t="inlineStr">
        <is>
          <t>Article-99-Entry</t>
        </is>
      </c>
      <c r="C448" s="13" t="inlineStr">
        <is>
          <t>into force and application</t>
        </is>
      </c>
      <c r="D448" s="13" t="inlineStr">
        <is>
          <t>Delegated Acts &amp; Final Provisions</t>
        </is>
      </c>
    </row>
    <row r="449" ht="20" customHeight="1">
      <c r="A449" s="12" t="inlineStr">
        <is>
          <t>SOC 2</t>
        </is>
      </c>
      <c r="B449" s="12" t="inlineStr">
        <is>
          <t>CC1.1</t>
        </is>
      </c>
      <c r="C449" s="13" t="inlineStr">
        <is>
          <t>- Control Environment</t>
        </is>
      </c>
      <c r="D449" s="13" t="inlineStr">
        <is>
          <t>CC1 - Control Environment</t>
        </is>
      </c>
    </row>
    <row r="450" ht="20" customHeight="1">
      <c r="A450" s="12" t="inlineStr">
        <is>
          <t>SOC 2</t>
        </is>
      </c>
      <c r="B450" s="12" t="inlineStr">
        <is>
          <t>CC1.2</t>
        </is>
      </c>
      <c r="C450" s="13" t="inlineStr">
        <is>
          <t>- Board Oversight</t>
        </is>
      </c>
      <c r="D450" s="13" t="inlineStr">
        <is>
          <t>CC1 - Control Environment</t>
        </is>
      </c>
    </row>
    <row r="451" ht="20" customHeight="1">
      <c r="A451" s="12" t="inlineStr">
        <is>
          <t>SOC 2</t>
        </is>
      </c>
      <c r="B451" s="12" t="inlineStr">
        <is>
          <t>CC1.3</t>
        </is>
      </c>
      <c r="C451" s="13" t="inlineStr">
        <is>
          <t>- Structures and Reporting Lines</t>
        </is>
      </c>
      <c r="D451" s="13" t="inlineStr">
        <is>
          <t>CC1 - Control Environment</t>
        </is>
      </c>
    </row>
    <row r="452" ht="20" customHeight="1">
      <c r="A452" s="12" t="inlineStr">
        <is>
          <t>SOC 2</t>
        </is>
      </c>
      <c r="B452" s="12" t="inlineStr">
        <is>
          <t>CC1.4</t>
        </is>
      </c>
      <c r="C452" s="13" t="inlineStr">
        <is>
          <t>- Commitment to Competence</t>
        </is>
      </c>
      <c r="D452" s="13" t="inlineStr">
        <is>
          <t>CC1 - Control Environment</t>
        </is>
      </c>
    </row>
    <row r="453" ht="20" customHeight="1">
      <c r="A453" s="12" t="inlineStr">
        <is>
          <t>SOC 2</t>
        </is>
      </c>
      <c r="B453" s="12" t="inlineStr">
        <is>
          <t>CC1.5</t>
        </is>
      </c>
      <c r="C453" s="13" t="inlineStr">
        <is>
          <t>- Accountability</t>
        </is>
      </c>
      <c r="D453" s="13" t="inlineStr">
        <is>
          <t>CC1 - Control Environment</t>
        </is>
      </c>
    </row>
    <row r="454" ht="20" customHeight="1">
      <c r="A454" s="12" t="inlineStr">
        <is>
          <t>SOC 2</t>
        </is>
      </c>
      <c r="B454" s="12" t="inlineStr">
        <is>
          <t>CC2.1</t>
        </is>
      </c>
      <c r="C454" s="13" t="inlineStr">
        <is>
          <t>- Internal Communication</t>
        </is>
      </c>
      <c r="D454" s="13" t="inlineStr">
        <is>
          <t>CC2 - Communication and Information</t>
        </is>
      </c>
    </row>
    <row r="455" ht="20" customHeight="1">
      <c r="A455" s="12" t="inlineStr">
        <is>
          <t>SOC 2</t>
        </is>
      </c>
      <c r="B455" s="12" t="inlineStr">
        <is>
          <t>CC2.2</t>
        </is>
      </c>
      <c r="C455" s="13" t="inlineStr">
        <is>
          <t>- External Communication</t>
        </is>
      </c>
      <c r="D455" s="13" t="inlineStr">
        <is>
          <t>CC2 - Communication and Information</t>
        </is>
      </c>
    </row>
    <row r="456" ht="20" customHeight="1">
      <c r="A456" s="12" t="inlineStr">
        <is>
          <t>SOC 2</t>
        </is>
      </c>
      <c r="B456" s="12" t="inlineStr">
        <is>
          <t>CC2.3</t>
        </is>
      </c>
      <c r="C456" s="13" t="inlineStr">
        <is>
          <t>- Communication with External Parties</t>
        </is>
      </c>
      <c r="D456" s="13" t="inlineStr">
        <is>
          <t>CC2 - Communication and Information</t>
        </is>
      </c>
    </row>
    <row r="457" ht="20" customHeight="1">
      <c r="A457" s="12" t="inlineStr">
        <is>
          <t>SOC 2</t>
        </is>
      </c>
      <c r="B457" s="12" t="inlineStr">
        <is>
          <t>CC3.1</t>
        </is>
      </c>
      <c r="C457" s="13" t="inlineStr">
        <is>
          <t>- Objective Specification</t>
        </is>
      </c>
      <c r="D457" s="13" t="inlineStr">
        <is>
          <t>CC3 - Risk Assessment</t>
        </is>
      </c>
    </row>
    <row r="458" ht="20" customHeight="1">
      <c r="A458" s="12" t="inlineStr">
        <is>
          <t>SOC 2</t>
        </is>
      </c>
      <c r="B458" s="12" t="inlineStr">
        <is>
          <t>CC3.2</t>
        </is>
      </c>
      <c r="C458" s="13" t="inlineStr">
        <is>
          <t>- Risk Identification and Assessment</t>
        </is>
      </c>
      <c r="D458" s="13" t="inlineStr">
        <is>
          <t>CC3 - Risk Assessment</t>
        </is>
      </c>
    </row>
    <row r="459" ht="20" customHeight="1">
      <c r="A459" s="12" t="inlineStr">
        <is>
          <t>SOC 2</t>
        </is>
      </c>
      <c r="B459" s="12" t="inlineStr">
        <is>
          <t>CC3.3</t>
        </is>
      </c>
      <c r="C459" s="13" t="inlineStr">
        <is>
          <t>- Fraud Risk Assessment</t>
        </is>
      </c>
      <c r="D459" s="13" t="inlineStr">
        <is>
          <t>CC3 - Risk Assessment</t>
        </is>
      </c>
    </row>
    <row r="460" ht="20" customHeight="1">
      <c r="A460" s="12" t="inlineStr">
        <is>
          <t>SOC 2</t>
        </is>
      </c>
      <c r="B460" s="12" t="inlineStr">
        <is>
          <t>CC3.4</t>
        </is>
      </c>
      <c r="C460" s="13" t="inlineStr">
        <is>
          <t>- Change Impact Assessment</t>
        </is>
      </c>
      <c r="D460" s="13" t="inlineStr">
        <is>
          <t>CC3 - Risk Assessment</t>
        </is>
      </c>
    </row>
    <row r="461" ht="20" customHeight="1">
      <c r="A461" s="12" t="inlineStr">
        <is>
          <t>SOC 2</t>
        </is>
      </c>
      <c r="B461" s="12" t="inlineStr">
        <is>
          <t>CC4.1</t>
        </is>
      </c>
      <c r="C461" s="13" t="inlineStr">
        <is>
          <t>- Ongoing Evaluations</t>
        </is>
      </c>
      <c r="D461" s="13" t="inlineStr">
        <is>
          <t>CC4 - Monitoring Activities</t>
        </is>
      </c>
    </row>
    <row r="462" ht="20" customHeight="1">
      <c r="A462" s="12" t="inlineStr">
        <is>
          <t>SOC 2</t>
        </is>
      </c>
      <c r="B462" s="12" t="inlineStr">
        <is>
          <t>CC4.2</t>
        </is>
      </c>
      <c r="C462" s="13" t="inlineStr">
        <is>
          <t>- Deficiency Communication</t>
        </is>
      </c>
      <c r="D462" s="13" t="inlineStr">
        <is>
          <t>CC4 - Monitoring Activities</t>
        </is>
      </c>
    </row>
    <row r="463" ht="20" customHeight="1">
      <c r="A463" s="12" t="inlineStr">
        <is>
          <t>SOC 2</t>
        </is>
      </c>
      <c r="B463" s="12" t="inlineStr">
        <is>
          <t>CC5.1</t>
        </is>
      </c>
      <c r="C463" s="13" t="inlineStr">
        <is>
          <t>- Logical Access Restriction</t>
        </is>
      </c>
      <c r="D463" s="13" t="inlineStr">
        <is>
          <t>CC5 - Access Control</t>
        </is>
      </c>
    </row>
    <row r="464" ht="20" customHeight="1">
      <c r="A464" s="12" t="inlineStr">
        <is>
          <t>SOC 2</t>
        </is>
      </c>
      <c r="B464" s="12" t="inlineStr">
        <is>
          <t>CC5.2</t>
        </is>
      </c>
      <c r="C464" s="13" t="inlineStr">
        <is>
          <t>- Periodic Access Review</t>
        </is>
      </c>
      <c r="D464" s="13" t="inlineStr">
        <is>
          <t>CC5 - Access Control</t>
        </is>
      </c>
    </row>
    <row r="465" ht="20" customHeight="1">
      <c r="A465" s="12" t="inlineStr">
        <is>
          <t>SOC 2</t>
        </is>
      </c>
      <c r="B465" s="12" t="inlineStr">
        <is>
          <t>CC5.3</t>
        </is>
      </c>
      <c r="C465" s="13" t="inlineStr">
        <is>
          <t>- Access Removal</t>
        </is>
      </c>
      <c r="D465" s="13" t="inlineStr">
        <is>
          <t>CC5 - Access Control</t>
        </is>
      </c>
    </row>
    <row r="466" ht="20" customHeight="1">
      <c r="A466" s="12" t="inlineStr">
        <is>
          <t>SOC 2</t>
        </is>
      </c>
      <c r="B466" s="12" t="inlineStr">
        <is>
          <t>CC6.1</t>
        </is>
      </c>
      <c r="C466" s="13" t="inlineStr">
        <is>
          <t>- System Operations Management</t>
        </is>
      </c>
      <c r="D466" s="13" t="inlineStr">
        <is>
          <t>CC6 - System Operations and Security</t>
        </is>
      </c>
    </row>
    <row r="467" ht="20" customHeight="1">
      <c r="A467" s="12" t="inlineStr">
        <is>
          <t>SOC 2</t>
        </is>
      </c>
      <c r="B467" s="12" t="inlineStr">
        <is>
          <t>CC6.2</t>
        </is>
      </c>
      <c r="C467" s="13" t="inlineStr">
        <is>
          <t>- Vulnerability Management</t>
        </is>
      </c>
      <c r="D467" s="13" t="inlineStr">
        <is>
          <t>CC6 - System Operations and Security</t>
        </is>
      </c>
    </row>
    <row r="468" ht="20" customHeight="1">
      <c r="A468" s="12" t="inlineStr">
        <is>
          <t>SOC 2</t>
        </is>
      </c>
      <c r="B468" s="12" t="inlineStr">
        <is>
          <t>CC6.3</t>
        </is>
      </c>
      <c r="C468" s="13" t="inlineStr">
        <is>
          <t>- Security Event Detection and Logging</t>
        </is>
      </c>
      <c r="D468" s="13" t="inlineStr">
        <is>
          <t>CC6 - System Operations and Security</t>
        </is>
      </c>
    </row>
    <row r="469" ht="20" customHeight="1">
      <c r="A469" s="12" t="inlineStr">
        <is>
          <t>SOC 2</t>
        </is>
      </c>
      <c r="B469" s="12" t="inlineStr">
        <is>
          <t>CC6.4</t>
        </is>
      </c>
      <c r="C469" s="13" t="inlineStr">
        <is>
          <t>- Log Monitoring</t>
        </is>
      </c>
      <c r="D469" s="13" t="inlineStr">
        <is>
          <t>CC6 - System Operations and Security</t>
        </is>
      </c>
    </row>
    <row r="470" ht="20" customHeight="1">
      <c r="A470" s="12" t="inlineStr">
        <is>
          <t>SOC 2</t>
        </is>
      </c>
      <c r="B470" s="12" t="inlineStr">
        <is>
          <t>CC6.5</t>
        </is>
      </c>
      <c r="C470" s="13" t="inlineStr">
        <is>
          <t>- Incident Response</t>
        </is>
      </c>
      <c r="D470" s="13" t="inlineStr">
        <is>
          <t>CC6 - System Operations and Security</t>
        </is>
      </c>
    </row>
    <row r="471" ht="20" customHeight="1">
      <c r="A471" s="12" t="inlineStr">
        <is>
          <t>SOC 2</t>
        </is>
      </c>
      <c r="B471" s="12" t="inlineStr">
        <is>
          <t>CC6.6</t>
        </is>
      </c>
      <c r="C471" s="13" t="inlineStr">
        <is>
          <t>- Network Traffic Restriction</t>
        </is>
      </c>
      <c r="D471" s="13" t="inlineStr">
        <is>
          <t>CC6 - System Operations and Security</t>
        </is>
      </c>
    </row>
    <row r="472" ht="20" customHeight="1">
      <c r="A472" s="12" t="inlineStr">
        <is>
          <t>SOC 2</t>
        </is>
      </c>
      <c r="B472" s="12" t="inlineStr">
        <is>
          <t>CC6.7</t>
        </is>
      </c>
      <c r="C472" s="13" t="inlineStr">
        <is>
          <t>- System Boundary Protection</t>
        </is>
      </c>
      <c r="D472" s="13" t="inlineStr">
        <is>
          <t>CC6 - System Operations and Security</t>
        </is>
      </c>
    </row>
    <row r="473" ht="20" customHeight="1">
      <c r="A473" s="12" t="inlineStr">
        <is>
          <t>SOC 2</t>
        </is>
      </c>
      <c r="B473" s="12" t="inlineStr">
        <is>
          <t>CC6.8</t>
        </is>
      </c>
      <c r="C473" s="13" t="inlineStr">
        <is>
          <t>- Encryption Key Management</t>
        </is>
      </c>
      <c r="D473" s="13" t="inlineStr">
        <is>
          <t>CC6 - System Operations and Security</t>
        </is>
      </c>
    </row>
    <row r="474" ht="20" customHeight="1">
      <c r="A474" s="12" t="inlineStr">
        <is>
          <t>SOC 2</t>
        </is>
      </c>
      <c r="B474" s="12" t="inlineStr">
        <is>
          <t>CC7.2</t>
        </is>
      </c>
      <c r="C474" s="13" t="inlineStr">
        <is>
          <t>- Change Authorization and Implementation</t>
        </is>
      </c>
      <c r="D474" s="13" t="inlineStr">
        <is>
          <t>CC7 - Change Management</t>
        </is>
      </c>
    </row>
    <row r="475" ht="20" customHeight="1">
      <c r="A475" s="12" t="inlineStr">
        <is>
          <t>SOC 2</t>
        </is>
      </c>
      <c r="B475" s="12" t="inlineStr">
        <is>
          <t>CC7.3</t>
        </is>
      </c>
      <c r="C475" s="13" t="inlineStr">
        <is>
          <t>- Emergency Changes</t>
        </is>
      </c>
      <c r="D475" s="13" t="inlineStr">
        <is>
          <t>CC7 - Change Management</t>
        </is>
      </c>
    </row>
    <row r="476" ht="20" customHeight="1">
      <c r="A476" s="12" t="inlineStr">
        <is>
          <t>SOC 2</t>
        </is>
      </c>
      <c r="B476" s="12" t="inlineStr">
        <is>
          <t>CC7.4</t>
        </is>
      </c>
      <c r="C476" s="13" t="inlineStr">
        <is>
          <t>- Environment Separation</t>
        </is>
      </c>
      <c r="D476" s="13" t="inlineStr">
        <is>
          <t>CC7 - Change Management</t>
        </is>
      </c>
    </row>
    <row r="477" ht="20" customHeight="1">
      <c r="A477" s="12" t="inlineStr">
        <is>
          <t>SOC 2</t>
        </is>
      </c>
      <c r="B477" s="12" t="inlineStr">
        <is>
          <t>CC7.5</t>
        </is>
      </c>
      <c r="C477" s="13" t="inlineStr">
        <is>
          <t>- Secure Coding</t>
        </is>
      </c>
      <c r="D477" s="13" t="inlineStr">
        <is>
          <t>CC7 - Change Management</t>
        </is>
      </c>
    </row>
    <row r="478" ht="20" customHeight="1">
      <c r="A478" s="12" t="inlineStr">
        <is>
          <t>SOC 2</t>
        </is>
      </c>
      <c r="B478" s="12" t="inlineStr">
        <is>
          <t>CC8.1</t>
        </is>
      </c>
      <c r="C478" s="13" t="inlineStr">
        <is>
          <t>- Infrastructure and Data Changes</t>
        </is>
      </c>
      <c r="D478" s="13" t="inlineStr">
        <is>
          <t>CC8 - Change Management (Infrastructure)</t>
        </is>
      </c>
    </row>
    <row r="479" ht="20" customHeight="1">
      <c r="A479" s="12" t="inlineStr">
        <is>
          <t>SOC 2</t>
        </is>
      </c>
      <c r="B479" s="12" t="inlineStr">
        <is>
          <t>CC9.1</t>
        </is>
      </c>
      <c r="C479" s="13" t="inlineStr">
        <is>
          <t>- Business Disruption Risk Mitigation</t>
        </is>
      </c>
      <c r="D479" s="13" t="inlineStr">
        <is>
          <t>CC9 - Risk Mitigation</t>
        </is>
      </c>
    </row>
    <row r="480" ht="20" customHeight="1">
      <c r="A480" s="12" t="inlineStr">
        <is>
          <t>SOC 2</t>
        </is>
      </c>
      <c r="B480" s="12" t="inlineStr">
        <is>
          <t>CC9.2</t>
        </is>
      </c>
      <c r="C480" s="13" t="inlineStr">
        <is>
          <t>- Vendor Risk Management</t>
        </is>
      </c>
      <c r="D480" s="13" t="inlineStr">
        <is>
          <t>CC9 - Risk Mitigation</t>
        </is>
      </c>
    </row>
    <row r="481" ht="20" customHeight="1">
      <c r="A481" s="12" t="inlineStr">
        <is>
          <t>SOC 2</t>
        </is>
      </c>
      <c r="B481" s="12" t="inlineStr">
        <is>
          <t>A1.1</t>
        </is>
      </c>
      <c r="C481" s="13" t="inlineStr">
        <is>
          <t>- System Availability Commitments</t>
        </is>
      </c>
      <c r="D481" s="13" t="inlineStr">
        <is>
          <t>A1 - Availability</t>
        </is>
      </c>
    </row>
    <row r="482" ht="20" customHeight="1">
      <c r="A482" s="12" t="inlineStr">
        <is>
          <t>SOC 2</t>
        </is>
      </c>
      <c r="B482" s="12" t="inlineStr">
        <is>
          <t>A1.2</t>
        </is>
      </c>
      <c r="C482" s="13" t="inlineStr">
        <is>
          <t>- Availability Incident Response</t>
        </is>
      </c>
      <c r="D482" s="13" t="inlineStr">
        <is>
          <t>A1 - Availability</t>
        </is>
      </c>
    </row>
    <row r="483" ht="20" customHeight="1">
      <c r="A483" s="12" t="inlineStr">
        <is>
          <t>SOC 2</t>
        </is>
      </c>
      <c r="B483" s="12" t="inlineStr">
        <is>
          <t>A1.3</t>
        </is>
      </c>
      <c r="C483" s="13" t="inlineStr">
        <is>
          <t>- Recovery Testing</t>
        </is>
      </c>
      <c r="D483" s="13" t="inlineStr">
        <is>
          <t>A1 - Availability</t>
        </is>
      </c>
    </row>
    <row r="484" ht="20" customHeight="1">
      <c r="A484" s="12" t="inlineStr">
        <is>
          <t>SOC 2</t>
        </is>
      </c>
      <c r="B484" s="12" t="inlineStr">
        <is>
          <t>C1.1</t>
        </is>
      </c>
      <c r="C484" s="13" t="inlineStr">
        <is>
          <t>- Confidential Information Protection</t>
        </is>
      </c>
      <c r="D484" s="13" t="inlineStr">
        <is>
          <t>C1 - Confidentiality</t>
        </is>
      </c>
    </row>
    <row r="485" ht="20" customHeight="1">
      <c r="A485" s="12" t="inlineStr">
        <is>
          <t>SOC 2</t>
        </is>
      </c>
      <c r="B485" s="12" t="inlineStr">
        <is>
          <t>C1.4</t>
        </is>
      </c>
      <c r="C485" s="13" t="inlineStr">
        <is>
          <t>- Secure Disposal of Confidential Information</t>
        </is>
      </c>
      <c r="D485" s="13" t="inlineStr">
        <is>
          <t>C1 - Confidentiality</t>
        </is>
      </c>
    </row>
    <row r="486" ht="20" customHeight="1">
      <c r="A486" s="12" t="inlineStr">
        <is>
          <t>SOC 2</t>
        </is>
      </c>
      <c r="B486" s="12" t="inlineStr">
        <is>
          <t>P1.1</t>
        </is>
      </c>
      <c r="C486" s="13" t="inlineStr">
        <is>
          <t>- Privacy Notice</t>
        </is>
      </c>
      <c r="D486" s="13" t="inlineStr">
        <is>
          <t>P - Privacy</t>
        </is>
      </c>
    </row>
    <row r="487" ht="20" customHeight="1">
      <c r="A487" s="12" t="inlineStr">
        <is>
          <t>SOC 2</t>
        </is>
      </c>
      <c r="B487" s="12" t="inlineStr">
        <is>
          <t>P2.1</t>
        </is>
      </c>
      <c r="C487" s="13" t="inlineStr">
        <is>
          <t>- Privacy Choices and Consent</t>
        </is>
      </c>
      <c r="D487" s="13" t="inlineStr">
        <is>
          <t>P - Privacy</t>
        </is>
      </c>
    </row>
    <row r="488" ht="20" customHeight="1">
      <c r="A488" s="12" t="inlineStr">
        <is>
          <t>SOC 2</t>
        </is>
      </c>
      <c r="B488" s="12" t="inlineStr">
        <is>
          <t>P3.1</t>
        </is>
      </c>
      <c r="C488" s="13" t="inlineStr">
        <is>
          <t>- Personal Information Collection</t>
        </is>
      </c>
      <c r="D488" s="13" t="inlineStr">
        <is>
          <t>P - Privacy</t>
        </is>
      </c>
    </row>
    <row r="489" ht="20" customHeight="1">
      <c r="A489" s="12" t="inlineStr">
        <is>
          <t>SOC 2</t>
        </is>
      </c>
      <c r="B489" s="12" t="inlineStr">
        <is>
          <t>P3.2</t>
        </is>
      </c>
      <c r="C489" s="13" t="inlineStr">
        <is>
          <t>- Explicit Consent for Collection</t>
        </is>
      </c>
      <c r="D489" s="13" t="inlineStr">
        <is>
          <t>P - Privacy</t>
        </is>
      </c>
    </row>
    <row r="490" ht="20" customHeight="1">
      <c r="A490" s="12" t="inlineStr">
        <is>
          <t>SOC 2</t>
        </is>
      </c>
      <c r="B490" s="12" t="inlineStr">
        <is>
          <t>P4.1</t>
        </is>
      </c>
      <c r="C490" s="13" t="inlineStr">
        <is>
          <t>- Limiting Use of Personal Information</t>
        </is>
      </c>
      <c r="D490" s="13" t="inlineStr">
        <is>
          <t>P - Privacy</t>
        </is>
      </c>
    </row>
    <row r="491" ht="20" customHeight="1">
      <c r="A491" s="12" t="inlineStr">
        <is>
          <t>SOC 2</t>
        </is>
      </c>
      <c r="B491" s="12" t="inlineStr">
        <is>
          <t>P4.2</t>
        </is>
      </c>
      <c r="C491" s="13" t="inlineStr">
        <is>
          <t>- Personal Information Retention</t>
        </is>
      </c>
      <c r="D491" s="13" t="inlineStr">
        <is>
          <t>P - Privacy</t>
        </is>
      </c>
    </row>
    <row r="492" ht="20" customHeight="1">
      <c r="A492" s="12" t="inlineStr">
        <is>
          <t>SOC 2</t>
        </is>
      </c>
      <c r="B492" s="12" t="inlineStr">
        <is>
          <t>P4.3</t>
        </is>
      </c>
      <c r="C492" s="13" t="inlineStr">
        <is>
          <t>- Secure Disposal of Personal Information</t>
        </is>
      </c>
      <c r="D492" s="13" t="inlineStr">
        <is>
          <t>P - Privacy</t>
        </is>
      </c>
    </row>
    <row r="493" ht="20" customHeight="1">
      <c r="A493" s="12" t="inlineStr">
        <is>
          <t>SOC 2</t>
        </is>
      </c>
      <c r="B493" s="12" t="inlineStr">
        <is>
          <t>P5.1</t>
        </is>
      </c>
      <c r="C493" s="13" t="inlineStr">
        <is>
          <t>- Data Subject Access</t>
        </is>
      </c>
      <c r="D493" s="13" t="inlineStr">
        <is>
          <t>P - Privacy</t>
        </is>
      </c>
    </row>
    <row r="494" ht="20" customHeight="1">
      <c r="A494" s="12" t="inlineStr">
        <is>
          <t>SOC 2</t>
        </is>
      </c>
      <c r="B494" s="12" t="inlineStr">
        <is>
          <t>P5.2</t>
        </is>
      </c>
      <c r="C494" s="13" t="inlineStr">
        <is>
          <t>- Data Subject Correction</t>
        </is>
      </c>
      <c r="D494" s="13" t="inlineStr">
        <is>
          <t>P - Privacy</t>
        </is>
      </c>
    </row>
    <row r="495" ht="20" customHeight="1">
      <c r="A495" s="12" t="inlineStr">
        <is>
          <t>SOC 2</t>
        </is>
      </c>
      <c r="B495" s="12" t="inlineStr">
        <is>
          <t>P6.1</t>
        </is>
      </c>
      <c r="C495" s="13" t="inlineStr">
        <is>
          <t>- Disclosure to Third Parties</t>
        </is>
      </c>
      <c r="D495" s="13" t="inlineStr">
        <is>
          <t>P - Privacy</t>
        </is>
      </c>
    </row>
    <row r="496" ht="20" customHeight="1">
      <c r="A496" s="12" t="inlineStr">
        <is>
          <t>SOC 2</t>
        </is>
      </c>
      <c r="B496" s="12" t="inlineStr">
        <is>
          <t>P6.2</t>
        </is>
      </c>
      <c r="C496" s="13" t="inlineStr">
        <is>
          <t>- Authorized Disclosure Records</t>
        </is>
      </c>
      <c r="D496" s="13" t="inlineStr">
        <is>
          <t>P - Privacy</t>
        </is>
      </c>
    </row>
    <row r="497" ht="20" customHeight="1">
      <c r="A497" s="12" t="inlineStr">
        <is>
          <t>SOC 2</t>
        </is>
      </c>
      <c r="B497" s="12" t="inlineStr">
        <is>
          <t>P6.3</t>
        </is>
      </c>
      <c r="C497" s="13" t="inlineStr">
        <is>
          <t>- Unauthorized Disclosure Records</t>
        </is>
      </c>
      <c r="D497" s="13" t="inlineStr">
        <is>
          <t>P - Privacy</t>
        </is>
      </c>
    </row>
    <row r="498" ht="20" customHeight="1">
      <c r="A498" s="12" t="inlineStr">
        <is>
          <t>SOC 2</t>
        </is>
      </c>
      <c r="B498" s="12" t="inlineStr">
        <is>
          <t>P6.4</t>
        </is>
      </c>
      <c r="C498" s="13" t="inlineStr">
        <is>
          <t>- Vendor Privacy Commitments</t>
        </is>
      </c>
      <c r="D498" s="13" t="inlineStr">
        <is>
          <t>P - Privacy</t>
        </is>
      </c>
    </row>
    <row r="499" ht="20" customHeight="1">
      <c r="A499" s="12" t="inlineStr">
        <is>
          <t>SOC 2</t>
        </is>
      </c>
      <c r="B499" s="12" t="inlineStr">
        <is>
          <t>P6.5</t>
        </is>
      </c>
      <c r="C499" s="13" t="inlineStr">
        <is>
          <t>- Vendor Breach Notification Commitments</t>
        </is>
      </c>
      <c r="D499" s="13" t="inlineStr">
        <is>
          <t>P - Privacy</t>
        </is>
      </c>
    </row>
    <row r="500" ht="20" customHeight="1">
      <c r="A500" s="12" t="inlineStr">
        <is>
          <t>SOC 2</t>
        </is>
      </c>
      <c r="B500" s="12" t="inlineStr">
        <is>
          <t>P6.6</t>
        </is>
      </c>
      <c r="C500" s="13" t="inlineStr">
        <is>
          <t>- Breach Notification</t>
        </is>
      </c>
      <c r="D500" s="13" t="inlineStr">
        <is>
          <t>P - Privacy</t>
        </is>
      </c>
    </row>
    <row r="501" ht="20" customHeight="1">
      <c r="A501" s="12" t="inlineStr">
        <is>
          <t>SOC 2</t>
        </is>
      </c>
      <c r="B501" s="12" t="inlineStr">
        <is>
          <t>P6.7</t>
        </is>
      </c>
      <c r="C501" s="13" t="inlineStr">
        <is>
          <t>- Personal Information Accounting</t>
        </is>
      </c>
      <c r="D501" s="13" t="inlineStr">
        <is>
          <t>P - Privacy</t>
        </is>
      </c>
    </row>
    <row r="502" ht="20" customHeight="1">
      <c r="A502" s="12" t="inlineStr">
        <is>
          <t>SOC 2</t>
        </is>
      </c>
      <c r="B502" s="12" t="inlineStr">
        <is>
          <t>P7.1</t>
        </is>
      </c>
      <c r="C502" s="13" t="inlineStr">
        <is>
          <t>- Data Quality</t>
        </is>
      </c>
      <c r="D502" s="13" t="inlineStr">
        <is>
          <t>P - Privacy</t>
        </is>
      </c>
    </row>
    <row r="503" ht="20" customHeight="1">
      <c r="A503" s="12" t="inlineStr">
        <is>
          <t>SOC 2</t>
        </is>
      </c>
      <c r="B503" s="12" t="inlineStr">
        <is>
          <t>P8.1</t>
        </is>
      </c>
      <c r="C503" s="13" t="inlineStr">
        <is>
          <t>- Privacy Complaints and Disputes</t>
        </is>
      </c>
      <c r="D503" s="13" t="inlineStr">
        <is>
          <t>P - Privacy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2026-10-08T10:28:01Z</dcterms:created>
  <dcterms:modified xsi:type="dcterms:W3CDTF">2026-10-08T10:28:04Z</dcterms:modified>
</cp:coreProperties>
</file>